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xr:revisionPtr revIDLastSave="0" documentId="8_{3F4D57F1-36A5-4B2F-B214-49BE32A69D97}" xr6:coauthVersionLast="47" xr6:coauthVersionMax="47" xr10:uidLastSave="{00000000-0000-0000-0000-000000000000}"/>
  <bookViews>
    <workbookView xWindow="0" yWindow="0" windowWidth="16384" windowHeight="8192" tabRatio="500" activeTab="3" xr2:uid="{00000000-000D-0000-FFFF-FFFF00000000}"/>
  </bookViews>
  <sheets>
    <sheet name="Dicionário" sheetId="1" r:id="rId1"/>
    <sheet name="Premissas" sheetId="2" r:id="rId2"/>
    <sheet name="Conciliação" sheetId="3" r:id="rId3"/>
    <sheet name="Erros inseridos" sheetId="4" r:id="rId4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6" i="3" l="1"/>
  <c r="I10" i="3"/>
  <c r="H10" i="3"/>
  <c r="F10" i="3"/>
  <c r="E10" i="3"/>
  <c r="C10" i="3"/>
  <c r="B10" i="3"/>
  <c r="J9" i="3"/>
  <c r="G9" i="3"/>
  <c r="D9" i="3"/>
  <c r="J8" i="3"/>
  <c r="G8" i="3"/>
  <c r="D8" i="3"/>
  <c r="J7" i="3"/>
  <c r="G7" i="3"/>
  <c r="D7" i="3"/>
  <c r="J6" i="3"/>
  <c r="G6" i="3"/>
  <c r="D6" i="3"/>
  <c r="J5" i="3"/>
  <c r="J10" i="3" s="1"/>
  <c r="J17" i="3" s="1"/>
  <c r="G5" i="3"/>
  <c r="G10" i="3" s="1"/>
  <c r="D5" i="3"/>
  <c r="D10" i="3" s="1"/>
</calcChain>
</file>

<file path=xl/sharedStrings.xml><?xml version="1.0" encoding="utf-8"?>
<sst xmlns="http://schemas.openxmlformats.org/spreadsheetml/2006/main" count="195" uniqueCount="166">
  <si>
    <t>Dicionário de variáveis – base_imobilizado_SIM.csv.gz (520.000 linhas, 25 colunas)</t>
  </si>
  <si>
    <t>Dados SINTÉTICOS – trabalho acadêmico UnB – não representam registros da Suzano S.A. – preparador 241003769</t>
  </si>
  <si>
    <t>Variável</t>
  </si>
  <si>
    <t>Tipo</t>
  </si>
  <si>
    <t>Descrição</t>
  </si>
  <si>
    <t>Exemplo</t>
  </si>
  <si>
    <t>id_bem</t>
  </si>
  <si>
    <t>Texto</t>
  </si>
  <si>
    <t>Identificador único do bem (SIM- + 7 dígitos)</t>
  </si>
  <si>
    <t>SIM-0000001</t>
  </si>
  <si>
    <t>plaqueta</t>
  </si>
  <si>
    <t>Inteiro</t>
  </si>
  <si>
    <t>Número da plaqueta patrimonial</t>
  </si>
  <si>
    <t>458587</t>
  </si>
  <si>
    <t>descricao</t>
  </si>
  <si>
    <t>Descrição do bem: subclasse, unidade e número do item</t>
  </si>
  <si>
    <t>Digestor – Aracruz – item 10</t>
  </si>
  <si>
    <t>classe</t>
  </si>
  <si>
    <t>Classe conforme a nota 15: Terrenos; Imóveis; Máquinas, equipamentos e instalações; Imobilizado em andamento; Outros</t>
  </si>
  <si>
    <t>Imóveis</t>
  </si>
  <si>
    <t>subclasse</t>
  </si>
  <si>
    <t>Tipo de bem dentro da classe (ex.: caldeira, veículo, fazenda florestal)</t>
  </si>
  <si>
    <t>Caldeira de recuperação</t>
  </si>
  <si>
    <t>unidade</t>
  </si>
  <si>
    <t>Unidade da Suzano onde o bem está (nomes reais, bens fictícios)</t>
  </si>
  <si>
    <t>Três Lagoas</t>
  </si>
  <si>
    <t>uf</t>
  </si>
  <si>
    <t>Estado da unidade (EUA para Pine Bluff)</t>
  </si>
  <si>
    <t>MS</t>
  </si>
  <si>
    <t>centro_custo</t>
  </si>
  <si>
    <t>Centro de custo responsável</t>
  </si>
  <si>
    <t>MS-785</t>
  </si>
  <si>
    <t>data_aquisicao</t>
  </si>
  <si>
    <t>Data</t>
  </si>
  <si>
    <t>Data da aquisição ou do início da obra</t>
  </si>
  <si>
    <t>2018-05-14</t>
  </si>
  <si>
    <t>data_inicio_depreciacao</t>
  </si>
  <si>
    <t>Data em que o bem começa a ser depreciado (vazio para terrenos e obras)</t>
  </si>
  <si>
    <t>2018-06-13</t>
  </si>
  <si>
    <t>vida_util_anos</t>
  </si>
  <si>
    <t>Número</t>
  </si>
  <si>
    <t>Vida útil estimada em anos (vazio para terrenos e obras)</t>
  </si>
  <si>
    <t>20</t>
  </si>
  <si>
    <t>taxa_depreciacao_aa</t>
  </si>
  <si>
    <t>Taxa anual de depreciação = 1 ÷ vida útil</t>
  </si>
  <si>
    <t>0,05</t>
  </si>
  <si>
    <t>custo_aquisicao</t>
  </si>
  <si>
    <t>R$</t>
  </si>
  <si>
    <t>Custo registrado do bem</t>
  </si>
  <si>
    <t>1.234.567,89</t>
  </si>
  <si>
    <t>depreciacao_acumulada</t>
  </si>
  <si>
    <t>Depreciação acumulada até 31/12/2025</t>
  </si>
  <si>
    <t>456.789,00</t>
  </si>
  <si>
    <t>valor_contabil</t>
  </si>
  <si>
    <t>Valor contábil líquido = custo – depreciação acumulada</t>
  </si>
  <si>
    <t>777.778,89</t>
  </si>
  <si>
    <t>depreciacao_2025</t>
  </si>
  <si>
    <t>Depreciação reconhecida no exercício de 2025</t>
  </si>
  <si>
    <t>61.728,39</t>
  </si>
  <si>
    <t>fornecedor_id</t>
  </si>
  <si>
    <t>Código do fornecedor</t>
  </si>
  <si>
    <t>FOR0188</t>
  </si>
  <si>
    <t>numero_nf</t>
  </si>
  <si>
    <t>Número da nota fiscal de aquisição</t>
  </si>
  <si>
    <t>246181-0</t>
  </si>
  <si>
    <t>data_lancamento</t>
  </si>
  <si>
    <t>Data do lançamento no sistema</t>
  </si>
  <si>
    <t>2018-05-20</t>
  </si>
  <si>
    <t>hora_lancamento</t>
  </si>
  <si>
    <t>Hora do lançamento (hh:mm)</t>
  </si>
  <si>
    <t>15:42</t>
  </si>
  <si>
    <t>usuario_lancamento</t>
  </si>
  <si>
    <t>Usuário que fez o lançamento</t>
  </si>
  <si>
    <t>USR017</t>
  </si>
  <si>
    <t>usuario_aprovador</t>
  </si>
  <si>
    <t>Usuário que aprovou o lançamento</t>
  </si>
  <si>
    <t>APR04</t>
  </si>
  <si>
    <t>em_garantia</t>
  </si>
  <si>
    <t>Indica se o bem foi dado em garantia de financiamento (Sim/Não)</t>
  </si>
  <si>
    <t>Sim</t>
  </si>
  <si>
    <t>situacao</t>
  </si>
  <si>
    <t>Em operação ou Em construção</t>
  </si>
  <si>
    <t>Em operação</t>
  </si>
  <si>
    <t>origem_dado</t>
  </si>
  <si>
    <t>Marcação obrigatória de dado sintético</t>
  </si>
  <si>
    <t>SINTÉTICO – trabalho acadêmico UnB</t>
  </si>
  <si>
    <t>Formato do arquivo: CSV compactado (gzip), separador ";", decimal ",", codificação UTF-8.</t>
  </si>
  <si>
    <t>Arquivos auxiliares: documentos_suporte_SIM.csv.gz (id_bem, numero_nf, data_documento, valor_documento) e gabarito_erros_SIM.csv.</t>
  </si>
  <si>
    <t>Premissas e método de geração</t>
  </si>
  <si>
    <t>Item</t>
  </si>
  <si>
    <t>Premissa</t>
  </si>
  <si>
    <t>Unidade de registro</t>
  </si>
  <si>
    <t>Cada linha é um bem do imobilizado existente em 31/12/2025 (razão auxiliar).</t>
  </si>
  <si>
    <t>Quantidade</t>
  </si>
  <si>
    <t>519.850 bens originais + 150 duplicatas inseridas (erro E1) = 520.000 linhas; nenhuma linha repetida, exceto as 150 duplicatas propositais.</t>
  </si>
  <si>
    <t>Saldos de referência</t>
  </si>
  <si>
    <t>Nota 15 da DFP 2025, consolidado: custo, depreciação acumulada e depreciação de 2025 por classe.</t>
  </si>
  <si>
    <t>Distribuição de valores</t>
  </si>
  <si>
    <t>Lognormal por classe (muitos bens pequenos, poucos grandes), escalada para fechar com a nota 15 em centavos.</t>
  </si>
  <si>
    <t>Datas</t>
  </si>
  <si>
    <t>Aquisição entre 1995 e 2025 (distribuição beta, mais bens recentes); Ribas do Rio Pardo entre 2022 e 2024; obras entre 2023 e 2025; lançamentos em dias úteis.</t>
  </si>
  <si>
    <t>Depreciação</t>
  </si>
  <si>
    <t>Linear: tempo de uso ÷ vida útil, limitada a 100% do custo, escalada para o total da nota 15.</t>
  </si>
  <si>
    <t>Vida útil</t>
  </si>
  <si>
    <t>Por subclasse, coerente com as taxas médias da nota 15 (imóveis ~3,3% a.a.; máquinas ~7,5%; outros ~20,7%), com variação de ±2 anos.</t>
  </si>
  <si>
    <t>Erros</t>
  </si>
  <si>
    <t>1.600 bens com 10 tipos de erro (E1–E10), registrados no gabarito; os bens com erro não são reajustados.</t>
  </si>
  <si>
    <t>Reprodutibilidade</t>
  </si>
  <si>
    <t>Semente aleatória 42: rodar o notebook gera sempre a mesma base.</t>
  </si>
  <si>
    <t>Ferramentas</t>
  </si>
  <si>
    <t>Python 3, bibliotecas pandas e numpy, Google Colab.</t>
  </si>
  <si>
    <t>Conciliação da base simulada com a nota 15 (R$ mil)</t>
  </si>
  <si>
    <t>Classe</t>
  </si>
  <si>
    <t>Custo – base</t>
  </si>
  <si>
    <t>Custo – nota 15</t>
  </si>
  <si>
    <t>Dif. custo</t>
  </si>
  <si>
    <t>Depr. acum. – base</t>
  </si>
  <si>
    <t>Depr. acum. – nota 15</t>
  </si>
  <si>
    <t>Dif. depr.</t>
  </si>
  <si>
    <t>Valor contábil – base</t>
  </si>
  <si>
    <t>Valor contábil – nota 15</t>
  </si>
  <si>
    <t>Dif. valor contábil</t>
  </si>
  <si>
    <t>Terrenos</t>
  </si>
  <si>
    <t>Máquinas, equipamentos e instalações</t>
  </si>
  <si>
    <t>Imobilizado em andamento</t>
  </si>
  <si>
    <t>Outros</t>
  </si>
  <si>
    <t>Total</t>
  </si>
  <si>
    <t>Explicação da diferença de valor contábil</t>
  </si>
  <si>
    <t>E3 – terrenos com depreciação (reduz o valor contábil)</t>
  </si>
  <si>
    <t>E4 – obras com depreciação (reduz o valor contábil)</t>
  </si>
  <si>
    <t>E6 – valor contábil diferente de custo – depreciação</t>
  </si>
  <si>
    <t>Total explicado</t>
  </si>
  <si>
    <t>Diferença não explicada</t>
  </si>
  <si>
    <t>Custo bate com a nota 15 em todas as classes. A depreciação acumulada difere apenas em terrenos e obras, pelos erros E3 e E4 (a nota 15 não registra depreciação nessas classes).</t>
  </si>
  <si>
    <t>Resumo do gabarito de erros inseridos</t>
  </si>
  <si>
    <t>Código</t>
  </si>
  <si>
    <t>Erro</t>
  </si>
  <si>
    <t>Afirmação</t>
  </si>
  <si>
    <t>Distorção (R$ mil)</t>
  </si>
  <si>
    <t>E1</t>
  </si>
  <si>
    <t>Bem duplicado (mesma NF, fornecedor e valor)</t>
  </si>
  <si>
    <t>Existência</t>
  </si>
  <si>
    <t>E2</t>
  </si>
  <si>
    <t>Depreciação acumulada maior que o custo</t>
  </si>
  <si>
    <t>Valorização</t>
  </si>
  <si>
    <t>E3</t>
  </si>
  <si>
    <t>Terreno com depreciação</t>
  </si>
  <si>
    <t>E4</t>
  </si>
  <si>
    <t>Imobilizado em andamento com depreciação</t>
  </si>
  <si>
    <t>E5</t>
  </si>
  <si>
    <t>Data de aquisição posterior a 31/12/2025</t>
  </si>
  <si>
    <t>Corte / existência</t>
  </si>
  <si>
    <t>E6</t>
  </si>
  <si>
    <t>Valor contábil diferente de custo – depreciação</t>
  </si>
  <si>
    <t>Precisão</t>
  </si>
  <si>
    <t>E7</t>
  </si>
  <si>
    <t>Vida útil fora da política (0 ou 99 anos)</t>
  </si>
  <si>
    <t>E8</t>
  </si>
  <si>
    <t>Lançamento em fim de semana sem segregação (aprovador = usuário)</t>
  </si>
  <si>
    <t>Ocorrência (fraude)</t>
  </si>
  <si>
    <t>E9</t>
  </si>
  <si>
    <t>Valor redondo lançado em 31/12 às 23h por usuário incomum, sem documento</t>
  </si>
  <si>
    <t>E10</t>
  </si>
  <si>
    <t>Custo registrado acima do documento suporte</t>
  </si>
  <si>
    <t>Existência / valorização</t>
  </si>
  <si>
    <t>Distorção = valor registrado – valor correto. Positiva = superavaliação; negativa = subavaliação. E2, E7 e E8 são erros de controle ou de regra, sem valor apurado.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</si>
</sst>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;\-"/>
    <numFmt numFmtId="165" formatCode="#,##0;\(#,##0\);\-"/>
  </numFmts>
  <fonts count="6">
    <font>
      <sz val="11"/>
      <color theme="1"/>
      <name val="Calibri"/>
      <family val="2"/>
      <charset val="1"/>
    </font>
    <font>
      <b/>
      <sz val="12"/>
      <name val="Arial"/>
      <charset val="1"/>
    </font>
    <font>
      <i/>
      <sz val="9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1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5" fillId="0" borderId="0" xfId="0" applyFont="1"/>
    <xf numFmtId="0" fontId="4" fillId="0" borderId="0" xfId="0" applyFont="1"/>
    <xf numFmtId="164" fontId="0" fillId="0" borderId="0" xfId="0" applyNumberFormat="1"/>
    <xf numFmtId="0" fontId="1" fillId="3" borderId="0" xfId="0" applyFont="1" applyFill="1" applyAlignment="1">
      <alignment horizontal="center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 wrapText="1"/>
    </xf>
    <xf numFmtId="0" fontId="5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5" fontId="4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showGridLines="0" zoomScaleNormal="100" workbookViewId="0">
      <selection activeCell="H8" sqref="H8"/>
    </sheetView>
  </sheetViews>
  <sheetFormatPr defaultColWidth="8.7109375" defaultRowHeight="15"/>
  <cols>
    <col min="1" max="1" width="26" customWidth="1"/>
    <col min="2" max="2" width="10" customWidth="1"/>
    <col min="3" max="3" width="70" customWidth="1"/>
    <col min="4" max="4" width="32" customWidth="1"/>
  </cols>
  <sheetData>
    <row r="1" spans="1:4" ht="15" customHeight="1">
      <c r="A1" s="7" t="s">
        <v>0</v>
      </c>
      <c r="B1" s="7"/>
      <c r="C1" s="7"/>
      <c r="D1" s="7"/>
    </row>
    <row r="2" spans="1:4">
      <c r="A2" s="1" t="s">
        <v>1</v>
      </c>
    </row>
    <row r="4" spans="1:4">
      <c r="A4" s="2" t="s">
        <v>2</v>
      </c>
      <c r="B4" s="2" t="s">
        <v>3</v>
      </c>
      <c r="C4" s="2" t="s">
        <v>4</v>
      </c>
      <c r="D4" s="2" t="s">
        <v>5</v>
      </c>
    </row>
    <row r="5" spans="1:4">
      <c r="A5" s="3" t="s">
        <v>6</v>
      </c>
      <c r="B5" s="3" t="s">
        <v>7</v>
      </c>
      <c r="C5" s="3" t="s">
        <v>8</v>
      </c>
      <c r="D5" s="3" t="s">
        <v>9</v>
      </c>
    </row>
    <row r="6" spans="1:4">
      <c r="A6" s="3" t="s">
        <v>10</v>
      </c>
      <c r="B6" s="3" t="s">
        <v>11</v>
      </c>
      <c r="C6" s="3" t="s">
        <v>12</v>
      </c>
      <c r="D6" s="3" t="s">
        <v>13</v>
      </c>
    </row>
    <row r="7" spans="1:4">
      <c r="A7" s="3" t="s">
        <v>14</v>
      </c>
      <c r="B7" s="3" t="s">
        <v>7</v>
      </c>
      <c r="C7" s="3" t="s">
        <v>15</v>
      </c>
      <c r="D7" s="3" t="s">
        <v>16</v>
      </c>
    </row>
    <row r="8" spans="1:4" ht="22.35">
      <c r="A8" s="3" t="s">
        <v>17</v>
      </c>
      <c r="B8" s="3" t="s">
        <v>7</v>
      </c>
      <c r="C8" s="3" t="s">
        <v>18</v>
      </c>
      <c r="D8" s="3" t="s">
        <v>19</v>
      </c>
    </row>
    <row r="9" spans="1:4">
      <c r="A9" s="3" t="s">
        <v>20</v>
      </c>
      <c r="B9" s="3" t="s">
        <v>7</v>
      </c>
      <c r="C9" s="3" t="s">
        <v>21</v>
      </c>
      <c r="D9" s="3" t="s">
        <v>22</v>
      </c>
    </row>
    <row r="10" spans="1:4">
      <c r="A10" s="3" t="s">
        <v>23</v>
      </c>
      <c r="B10" s="3" t="s">
        <v>7</v>
      </c>
      <c r="C10" s="3" t="s">
        <v>24</v>
      </c>
      <c r="D10" s="3" t="s">
        <v>25</v>
      </c>
    </row>
    <row r="11" spans="1:4">
      <c r="A11" s="3" t="s">
        <v>26</v>
      </c>
      <c r="B11" s="3" t="s">
        <v>7</v>
      </c>
      <c r="C11" s="3" t="s">
        <v>27</v>
      </c>
      <c r="D11" s="3" t="s">
        <v>28</v>
      </c>
    </row>
    <row r="12" spans="1:4">
      <c r="A12" s="3" t="s">
        <v>29</v>
      </c>
      <c r="B12" s="3" t="s">
        <v>7</v>
      </c>
      <c r="C12" s="3" t="s">
        <v>30</v>
      </c>
      <c r="D12" s="3" t="s">
        <v>31</v>
      </c>
    </row>
    <row r="13" spans="1:4">
      <c r="A13" s="3" t="s">
        <v>32</v>
      </c>
      <c r="B13" s="3" t="s">
        <v>33</v>
      </c>
      <c r="C13" s="3" t="s">
        <v>34</v>
      </c>
      <c r="D13" s="3" t="s">
        <v>35</v>
      </c>
    </row>
    <row r="14" spans="1:4">
      <c r="A14" s="3" t="s">
        <v>36</v>
      </c>
      <c r="B14" s="3" t="s">
        <v>33</v>
      </c>
      <c r="C14" s="3" t="s">
        <v>37</v>
      </c>
      <c r="D14" s="3" t="s">
        <v>38</v>
      </c>
    </row>
    <row r="15" spans="1:4">
      <c r="A15" s="3" t="s">
        <v>39</v>
      </c>
      <c r="B15" s="3" t="s">
        <v>40</v>
      </c>
      <c r="C15" s="3" t="s">
        <v>41</v>
      </c>
      <c r="D15" s="3" t="s">
        <v>42</v>
      </c>
    </row>
    <row r="16" spans="1:4">
      <c r="A16" s="3" t="s">
        <v>43</v>
      </c>
      <c r="B16" s="3" t="s">
        <v>40</v>
      </c>
      <c r="C16" s="3" t="s">
        <v>44</v>
      </c>
      <c r="D16" s="3" t="s">
        <v>45</v>
      </c>
    </row>
    <row r="17" spans="1:4">
      <c r="A17" s="3" t="s">
        <v>46</v>
      </c>
      <c r="B17" s="3" t="s">
        <v>47</v>
      </c>
      <c r="C17" s="3" t="s">
        <v>48</v>
      </c>
      <c r="D17" s="3" t="s">
        <v>49</v>
      </c>
    </row>
    <row r="18" spans="1:4">
      <c r="A18" s="3" t="s">
        <v>50</v>
      </c>
      <c r="B18" s="3" t="s">
        <v>47</v>
      </c>
      <c r="C18" s="3" t="s">
        <v>51</v>
      </c>
      <c r="D18" s="3" t="s">
        <v>52</v>
      </c>
    </row>
    <row r="19" spans="1:4">
      <c r="A19" s="3" t="s">
        <v>53</v>
      </c>
      <c r="B19" s="3" t="s">
        <v>47</v>
      </c>
      <c r="C19" s="3" t="s">
        <v>54</v>
      </c>
      <c r="D19" s="3" t="s">
        <v>55</v>
      </c>
    </row>
    <row r="20" spans="1:4">
      <c r="A20" s="3" t="s">
        <v>56</v>
      </c>
      <c r="B20" s="3" t="s">
        <v>47</v>
      </c>
      <c r="C20" s="3" t="s">
        <v>57</v>
      </c>
      <c r="D20" s="3" t="s">
        <v>58</v>
      </c>
    </row>
    <row r="21" spans="1:4">
      <c r="A21" s="3" t="s">
        <v>59</v>
      </c>
      <c r="B21" s="3" t="s">
        <v>7</v>
      </c>
      <c r="C21" s="3" t="s">
        <v>60</v>
      </c>
      <c r="D21" s="3" t="s">
        <v>61</v>
      </c>
    </row>
    <row r="22" spans="1:4">
      <c r="A22" s="3" t="s">
        <v>62</v>
      </c>
      <c r="B22" s="3" t="s">
        <v>7</v>
      </c>
      <c r="C22" s="3" t="s">
        <v>63</v>
      </c>
      <c r="D22" s="3" t="s">
        <v>64</v>
      </c>
    </row>
    <row r="23" spans="1:4">
      <c r="A23" s="3" t="s">
        <v>65</v>
      </c>
      <c r="B23" s="3" t="s">
        <v>33</v>
      </c>
      <c r="C23" s="3" t="s">
        <v>66</v>
      </c>
      <c r="D23" s="3" t="s">
        <v>67</v>
      </c>
    </row>
    <row r="24" spans="1:4">
      <c r="A24" s="3" t="s">
        <v>68</v>
      </c>
      <c r="B24" s="3" t="s">
        <v>7</v>
      </c>
      <c r="C24" s="3" t="s">
        <v>69</v>
      </c>
      <c r="D24" s="3" t="s">
        <v>70</v>
      </c>
    </row>
    <row r="25" spans="1:4">
      <c r="A25" s="3" t="s">
        <v>71</v>
      </c>
      <c r="B25" s="3" t="s">
        <v>7</v>
      </c>
      <c r="C25" s="3" t="s">
        <v>72</v>
      </c>
      <c r="D25" s="3" t="s">
        <v>73</v>
      </c>
    </row>
    <row r="26" spans="1:4">
      <c r="A26" s="3" t="s">
        <v>74</v>
      </c>
      <c r="B26" s="3" t="s">
        <v>7</v>
      </c>
      <c r="C26" s="3" t="s">
        <v>75</v>
      </c>
      <c r="D26" s="3" t="s">
        <v>76</v>
      </c>
    </row>
    <row r="27" spans="1:4">
      <c r="A27" s="3" t="s">
        <v>77</v>
      </c>
      <c r="B27" s="3" t="s">
        <v>7</v>
      </c>
      <c r="C27" s="3" t="s">
        <v>78</v>
      </c>
      <c r="D27" s="3" t="s">
        <v>79</v>
      </c>
    </row>
    <row r="28" spans="1:4">
      <c r="A28" s="3" t="s">
        <v>80</v>
      </c>
      <c r="B28" s="3" t="s">
        <v>7</v>
      </c>
      <c r="C28" s="3" t="s">
        <v>81</v>
      </c>
      <c r="D28" s="3" t="s">
        <v>82</v>
      </c>
    </row>
    <row r="29" spans="1:4">
      <c r="A29" s="3" t="s">
        <v>83</v>
      </c>
      <c r="B29" s="3" t="s">
        <v>7</v>
      </c>
      <c r="C29" s="3" t="s">
        <v>84</v>
      </c>
      <c r="D29" s="3" t="s">
        <v>85</v>
      </c>
    </row>
    <row r="32" spans="1:4">
      <c r="A32" s="1" t="s">
        <v>86</v>
      </c>
    </row>
    <row r="33" spans="1:1">
      <c r="A33" s="1" t="s">
        <v>87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showGridLines="0" zoomScaleNormal="100" workbookViewId="0">
      <selection activeCell="B18" sqref="B18"/>
    </sheetView>
  </sheetViews>
  <sheetFormatPr defaultColWidth="8.7109375" defaultRowHeight="15"/>
  <cols>
    <col min="1" max="1" width="26" customWidth="1"/>
    <col min="2" max="2" width="127.5703125" customWidth="1"/>
  </cols>
  <sheetData>
    <row r="1" spans="1:2" ht="15" customHeight="1">
      <c r="A1" s="7" t="s">
        <v>88</v>
      </c>
      <c r="B1" s="7"/>
    </row>
    <row r="2" spans="1:2">
      <c r="A2" s="1" t="s">
        <v>1</v>
      </c>
    </row>
    <row r="4" spans="1:2">
      <c r="A4" s="2" t="s">
        <v>89</v>
      </c>
      <c r="B4" s="2" t="s">
        <v>90</v>
      </c>
    </row>
    <row r="5" spans="1:2" ht="23.25" customHeight="1">
      <c r="A5" s="8" t="s">
        <v>91</v>
      </c>
      <c r="B5" s="8" t="s">
        <v>92</v>
      </c>
    </row>
    <row r="6" spans="1:2" ht="23.25" customHeight="1">
      <c r="A6" s="8" t="s">
        <v>93</v>
      </c>
      <c r="B6" s="8" t="s">
        <v>94</v>
      </c>
    </row>
    <row r="7" spans="1:2" ht="23.25" customHeight="1">
      <c r="A7" s="8" t="s">
        <v>95</v>
      </c>
      <c r="B7" s="8" t="s">
        <v>96</v>
      </c>
    </row>
    <row r="8" spans="1:2" ht="23.25" customHeight="1">
      <c r="A8" s="8" t="s">
        <v>97</v>
      </c>
      <c r="B8" s="8" t="s">
        <v>98</v>
      </c>
    </row>
    <row r="9" spans="1:2" ht="23.25" customHeight="1">
      <c r="A9" s="8" t="s">
        <v>99</v>
      </c>
      <c r="B9" s="8" t="s">
        <v>100</v>
      </c>
    </row>
    <row r="10" spans="1:2" ht="23.25" customHeight="1">
      <c r="A10" s="8" t="s">
        <v>101</v>
      </c>
      <c r="B10" s="8" t="s">
        <v>102</v>
      </c>
    </row>
    <row r="11" spans="1:2" ht="23.25" customHeight="1">
      <c r="A11" s="8" t="s">
        <v>103</v>
      </c>
      <c r="B11" s="8" t="s">
        <v>104</v>
      </c>
    </row>
    <row r="12" spans="1:2" ht="23.25" customHeight="1">
      <c r="A12" s="8" t="s">
        <v>105</v>
      </c>
      <c r="B12" s="8" t="s">
        <v>106</v>
      </c>
    </row>
    <row r="13" spans="1:2" ht="23.25" customHeight="1">
      <c r="A13" s="8" t="s">
        <v>107</v>
      </c>
      <c r="B13" s="8" t="s">
        <v>108</v>
      </c>
    </row>
    <row r="14" spans="1:2" ht="23.25" customHeight="1">
      <c r="A14" s="8" t="s">
        <v>109</v>
      </c>
      <c r="B14" s="8" t="s">
        <v>110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9"/>
  <sheetViews>
    <sheetView showGridLines="0" zoomScaleNormal="100" workbookViewId="0">
      <selection activeCell="B26" sqref="B26"/>
    </sheetView>
  </sheetViews>
  <sheetFormatPr defaultColWidth="8.7109375" defaultRowHeight="15"/>
  <cols>
    <col min="1" max="1" width="34" customWidth="1"/>
    <col min="2" max="3" width="15" customWidth="1"/>
    <col min="4" max="4" width="12" customWidth="1"/>
    <col min="5" max="6" width="15" customWidth="1"/>
    <col min="7" max="7" width="12" customWidth="1"/>
    <col min="8" max="9" width="15" customWidth="1"/>
    <col min="10" max="10" width="14" customWidth="1"/>
  </cols>
  <sheetData>
    <row r="1" spans="1:10" ht="15" customHeight="1">
      <c r="A1" s="7" t="s">
        <v>111</v>
      </c>
      <c r="B1" s="7"/>
      <c r="C1" s="7"/>
      <c r="D1" s="7"/>
      <c r="E1" s="7"/>
      <c r="F1" s="7"/>
      <c r="G1" s="7"/>
      <c r="H1" s="7"/>
      <c r="I1" s="7"/>
      <c r="J1" s="7"/>
    </row>
    <row r="2" spans="1:10">
      <c r="A2" s="1" t="s">
        <v>1</v>
      </c>
    </row>
    <row r="4" spans="1:10" ht="23.85">
      <c r="A4" s="2" t="s">
        <v>112</v>
      </c>
      <c r="B4" s="2" t="s">
        <v>113</v>
      </c>
      <c r="C4" s="2" t="s">
        <v>114</v>
      </c>
      <c r="D4" s="2" t="s">
        <v>115</v>
      </c>
      <c r="E4" s="2" t="s">
        <v>116</v>
      </c>
      <c r="F4" s="2" t="s">
        <v>117</v>
      </c>
      <c r="G4" s="2" t="s">
        <v>118</v>
      </c>
      <c r="H4" s="2" t="s">
        <v>119</v>
      </c>
      <c r="I4" s="2" t="s">
        <v>120</v>
      </c>
      <c r="J4" s="2" t="s">
        <v>121</v>
      </c>
    </row>
    <row r="5" spans="1:10" ht="21.75" customHeight="1">
      <c r="A5" s="8" t="s">
        <v>122</v>
      </c>
      <c r="B5" s="9">
        <v>16720186</v>
      </c>
      <c r="C5" s="9">
        <v>16720186</v>
      </c>
      <c r="D5" s="9">
        <f>B5-C5</f>
        <v>0</v>
      </c>
      <c r="E5" s="9">
        <v>24109.34</v>
      </c>
      <c r="F5" s="9">
        <v>0</v>
      </c>
      <c r="G5" s="9">
        <f>E5-F5</f>
        <v>24109.34</v>
      </c>
      <c r="H5" s="9">
        <v>16696076.66</v>
      </c>
      <c r="I5" s="9">
        <v>16720186</v>
      </c>
      <c r="J5" s="9">
        <f>H5-I5</f>
        <v>-24109.339999999851</v>
      </c>
    </row>
    <row r="6" spans="1:10" ht="21.75" customHeight="1">
      <c r="A6" s="8" t="s">
        <v>19</v>
      </c>
      <c r="B6" s="9">
        <v>14589194</v>
      </c>
      <c r="C6" s="9">
        <v>14589194</v>
      </c>
      <c r="D6" s="9">
        <f>B6-C6</f>
        <v>0</v>
      </c>
      <c r="E6" s="9">
        <v>4659310</v>
      </c>
      <c r="F6" s="9">
        <v>4659310</v>
      </c>
      <c r="G6" s="9">
        <f>E6-F6</f>
        <v>0</v>
      </c>
      <c r="H6" s="9">
        <v>9929916.6300000008</v>
      </c>
      <c r="I6" s="9">
        <v>9929884</v>
      </c>
      <c r="J6" s="9">
        <f>H6-I6</f>
        <v>32.630000000819564</v>
      </c>
    </row>
    <row r="7" spans="1:10" ht="21.75" customHeight="1">
      <c r="A7" s="8" t="s">
        <v>123</v>
      </c>
      <c r="B7" s="9">
        <v>66353229</v>
      </c>
      <c r="C7" s="9">
        <v>66353229</v>
      </c>
      <c r="D7" s="9">
        <f>B7-C7</f>
        <v>0</v>
      </c>
      <c r="E7" s="9">
        <v>32174476</v>
      </c>
      <c r="F7" s="9">
        <v>32174476</v>
      </c>
      <c r="G7" s="9">
        <f>E7-F7</f>
        <v>0</v>
      </c>
      <c r="H7" s="9">
        <v>34179022.68</v>
      </c>
      <c r="I7" s="9">
        <v>34178753</v>
      </c>
      <c r="J7" s="9">
        <f>H7-I7</f>
        <v>269.67999999970198</v>
      </c>
    </row>
    <row r="8" spans="1:10" ht="21.75" customHeight="1">
      <c r="A8" s="8" t="s">
        <v>124</v>
      </c>
      <c r="B8" s="9">
        <v>2764799</v>
      </c>
      <c r="C8" s="9">
        <v>2764799</v>
      </c>
      <c r="D8" s="9">
        <f>B8-C8</f>
        <v>0</v>
      </c>
      <c r="E8" s="9">
        <v>2060.7199999999998</v>
      </c>
      <c r="F8" s="9">
        <v>0</v>
      </c>
      <c r="G8" s="9">
        <f>E8-F8</f>
        <v>2060.7199999999998</v>
      </c>
      <c r="H8" s="9">
        <v>2762738.28</v>
      </c>
      <c r="I8" s="9">
        <v>2764799</v>
      </c>
      <c r="J8" s="9">
        <f>H8-I8</f>
        <v>-2060.7200000002049</v>
      </c>
    </row>
    <row r="9" spans="1:10" ht="21.75" customHeight="1">
      <c r="A9" s="8" t="s">
        <v>125</v>
      </c>
      <c r="B9" s="9">
        <v>1830011</v>
      </c>
      <c r="C9" s="9">
        <v>1830011</v>
      </c>
      <c r="D9" s="9">
        <f>B9-C9</f>
        <v>0</v>
      </c>
      <c r="E9" s="9">
        <v>1127446</v>
      </c>
      <c r="F9" s="9">
        <v>1127446</v>
      </c>
      <c r="G9" s="9">
        <f>E9-F9</f>
        <v>0</v>
      </c>
      <c r="H9" s="9">
        <v>702573.35</v>
      </c>
      <c r="I9" s="9">
        <v>702565</v>
      </c>
      <c r="J9" s="9">
        <f>H9-I9</f>
        <v>8.3499999999767169</v>
      </c>
    </row>
    <row r="10" spans="1:10" ht="21.75" customHeight="1">
      <c r="A10" s="10" t="s">
        <v>126</v>
      </c>
      <c r="B10" s="11">
        <f>SUM(B5:B9)</f>
        <v>102257419</v>
      </c>
      <c r="C10" s="11">
        <f>SUM(C5:C9)</f>
        <v>102257419</v>
      </c>
      <c r="D10" s="11">
        <f>SUM(D5:D9)</f>
        <v>0</v>
      </c>
      <c r="E10" s="11">
        <f>SUM(E5:E9)</f>
        <v>37987402.060000002</v>
      </c>
      <c r="F10" s="11">
        <f>SUM(F5:F9)</f>
        <v>37961232</v>
      </c>
      <c r="G10" s="11">
        <f>SUM(G5:G9)</f>
        <v>26170.06</v>
      </c>
      <c r="H10" s="11">
        <f>SUM(H5:H9)</f>
        <v>64270327.600000001</v>
      </c>
      <c r="I10" s="11">
        <f>SUM(I5:I9)</f>
        <v>64296187</v>
      </c>
      <c r="J10" s="11">
        <f>SUM(J5:J9)</f>
        <v>-25859.399999999558</v>
      </c>
    </row>
    <row r="12" spans="1:10">
      <c r="A12" s="4" t="s">
        <v>127</v>
      </c>
    </row>
    <row r="13" spans="1:10">
      <c r="A13" s="5" t="s">
        <v>128</v>
      </c>
      <c r="J13" s="6">
        <v>-24109.34</v>
      </c>
    </row>
    <row r="14" spans="1:10">
      <c r="A14" s="5" t="s">
        <v>129</v>
      </c>
      <c r="J14" s="6">
        <v>-2060.7199999999998</v>
      </c>
    </row>
    <row r="15" spans="1:10">
      <c r="A15" s="5" t="s">
        <v>130</v>
      </c>
      <c r="J15" s="6">
        <v>310.66000000000003</v>
      </c>
    </row>
    <row r="16" spans="1:10">
      <c r="A16" s="4" t="s">
        <v>131</v>
      </c>
      <c r="J16" s="6">
        <f>SUM(J13:J15)</f>
        <v>-25859.4</v>
      </c>
    </row>
    <row r="17" spans="1:10">
      <c r="A17" s="4" t="s">
        <v>132</v>
      </c>
      <c r="J17" s="6">
        <f>J10-J16</f>
        <v>4.4383341446518898E-10</v>
      </c>
    </row>
    <row r="19" spans="1:10">
      <c r="A19" s="1" t="s">
        <v>133</v>
      </c>
    </row>
  </sheetData>
  <mergeCells count="1">
    <mergeCell ref="A1:J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showGridLines="0" tabSelected="1" zoomScaleNormal="100" workbookViewId="0">
      <selection activeCell="A5" sqref="A5:E14"/>
    </sheetView>
  </sheetViews>
  <sheetFormatPr defaultColWidth="8.7109375" defaultRowHeight="15"/>
  <cols>
    <col min="1" max="1" width="9" customWidth="1"/>
    <col min="2" max="2" width="62" customWidth="1"/>
    <col min="3" max="3" width="24" customWidth="1"/>
    <col min="4" max="4" width="12" customWidth="1"/>
    <col min="5" max="5" width="16" customWidth="1"/>
  </cols>
  <sheetData>
    <row r="1" spans="1:5" ht="15" customHeight="1">
      <c r="A1" s="7" t="s">
        <v>134</v>
      </c>
      <c r="B1" s="7"/>
      <c r="C1" s="7"/>
      <c r="D1" s="7"/>
      <c r="E1" s="7"/>
    </row>
    <row r="2" spans="1:5">
      <c r="A2" s="1" t="s">
        <v>1</v>
      </c>
    </row>
    <row r="4" spans="1:5">
      <c r="A4" s="2" t="s">
        <v>135</v>
      </c>
      <c r="B4" s="2" t="s">
        <v>136</v>
      </c>
      <c r="C4" s="2" t="s">
        <v>137</v>
      </c>
      <c r="D4" s="2" t="s">
        <v>93</v>
      </c>
      <c r="E4" s="2" t="s">
        <v>138</v>
      </c>
    </row>
    <row r="5" spans="1:5" ht="21" customHeight="1">
      <c r="A5" s="8" t="s">
        <v>139</v>
      </c>
      <c r="B5" s="8" t="s">
        <v>140</v>
      </c>
      <c r="C5" s="8" t="s">
        <v>141</v>
      </c>
      <c r="D5" s="12">
        <v>150</v>
      </c>
      <c r="E5" s="12">
        <v>2442.6999999999998</v>
      </c>
    </row>
    <row r="6" spans="1:5" ht="21" customHeight="1">
      <c r="A6" s="8" t="s">
        <v>142</v>
      </c>
      <c r="B6" s="8" t="s">
        <v>143</v>
      </c>
      <c r="C6" s="8" t="s">
        <v>144</v>
      </c>
      <c r="D6" s="12">
        <v>100</v>
      </c>
      <c r="E6" s="12">
        <v>0</v>
      </c>
    </row>
    <row r="7" spans="1:5" ht="21" customHeight="1">
      <c r="A7" s="8" t="s">
        <v>145</v>
      </c>
      <c r="B7" s="8" t="s">
        <v>146</v>
      </c>
      <c r="C7" s="8" t="s">
        <v>144</v>
      </c>
      <c r="D7" s="12">
        <v>80</v>
      </c>
      <c r="E7" s="12">
        <v>-24109.3</v>
      </c>
    </row>
    <row r="8" spans="1:5" ht="21" customHeight="1">
      <c r="A8" s="8" t="s">
        <v>147</v>
      </c>
      <c r="B8" s="8" t="s">
        <v>148</v>
      </c>
      <c r="C8" s="8" t="s">
        <v>144</v>
      </c>
      <c r="D8" s="12">
        <v>80</v>
      </c>
      <c r="E8" s="12">
        <v>-2060.6999999999998</v>
      </c>
    </row>
    <row r="9" spans="1:5" ht="21" customHeight="1">
      <c r="A9" s="8" t="s">
        <v>149</v>
      </c>
      <c r="B9" s="8" t="s">
        <v>150</v>
      </c>
      <c r="C9" s="8" t="s">
        <v>151</v>
      </c>
      <c r="D9" s="12">
        <v>120</v>
      </c>
      <c r="E9" s="12">
        <v>4297.2</v>
      </c>
    </row>
    <row r="10" spans="1:5" ht="21" customHeight="1">
      <c r="A10" s="8" t="s">
        <v>152</v>
      </c>
      <c r="B10" s="8" t="s">
        <v>153</v>
      </c>
      <c r="C10" s="8" t="s">
        <v>154</v>
      </c>
      <c r="D10" s="12">
        <v>200</v>
      </c>
      <c r="E10" s="12">
        <v>310.7</v>
      </c>
    </row>
    <row r="11" spans="1:5" ht="21" customHeight="1">
      <c r="A11" s="8" t="s">
        <v>155</v>
      </c>
      <c r="B11" s="8" t="s">
        <v>156</v>
      </c>
      <c r="C11" s="8" t="s">
        <v>144</v>
      </c>
      <c r="D11" s="12">
        <v>120</v>
      </c>
      <c r="E11" s="12">
        <v>0</v>
      </c>
    </row>
    <row r="12" spans="1:5" ht="21" customHeight="1">
      <c r="A12" s="8" t="s">
        <v>157</v>
      </c>
      <c r="B12" s="8" t="s">
        <v>158</v>
      </c>
      <c r="C12" s="8" t="s">
        <v>159</v>
      </c>
      <c r="D12" s="12">
        <v>200</v>
      </c>
      <c r="E12" s="12">
        <v>0</v>
      </c>
    </row>
    <row r="13" spans="1:5" ht="21" customHeight="1">
      <c r="A13" s="8" t="s">
        <v>160</v>
      </c>
      <c r="B13" s="8" t="s">
        <v>161</v>
      </c>
      <c r="C13" s="8" t="s">
        <v>159</v>
      </c>
      <c r="D13" s="12">
        <v>150</v>
      </c>
      <c r="E13" s="12">
        <v>18350</v>
      </c>
    </row>
    <row r="14" spans="1:5" ht="21" customHeight="1">
      <c r="A14" s="8" t="s">
        <v>162</v>
      </c>
      <c r="B14" s="8" t="s">
        <v>163</v>
      </c>
      <c r="C14" s="8" t="s">
        <v>164</v>
      </c>
      <c r="D14" s="12">
        <v>400</v>
      </c>
      <c r="E14" s="12">
        <v>150000</v>
      </c>
    </row>
    <row r="16" spans="1:5">
      <c r="A16" s="1" t="s">
        <v>165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2026-10-21T13:14:47Z</dcterms:created>
  <dcterms:modified xsi:type="dcterms:W3CDTF">2026-10-21T13:32:42Z</dcterms:modified>
  <cp:category/>
  <cp:contentStatus/>
</cp:coreProperties>
</file>
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254EB979-7E70-4971-B641-8CEBAD826371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Parâmetros" sheetId="1" r:id="rId1"/>
    <sheet name="AN1 Receita celulose" sheetId="2" r:id="rId2"/>
    <sheet name="AN2 Depreciação" sheetId="3" r:id="rId3"/>
    <sheet name="AN3 Juros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4" l="1"/>
  <c r="D11" i="4"/>
  <c r="C11" i="4"/>
  <c r="D7" i="4"/>
  <c r="C7" i="4"/>
  <c r="D8" i="4" s="1"/>
  <c r="B7" i="4"/>
  <c r="C8" i="4" s="1"/>
  <c r="B17" i="3"/>
  <c r="B12" i="3"/>
  <c r="G8" i="3"/>
  <c r="E8" i="3"/>
  <c r="I7" i="3"/>
  <c r="F7" i="3"/>
  <c r="J7" i="3" s="1"/>
  <c r="I6" i="3"/>
  <c r="F6" i="3"/>
  <c r="J6" i="3" s="1"/>
  <c r="I5" i="3"/>
  <c r="I8" i="3" s="1"/>
  <c r="F5" i="3"/>
  <c r="J5" i="3" s="1"/>
  <c r="J8" i="3" s="1"/>
  <c r="C13" i="2"/>
  <c r="C11" i="2"/>
  <c r="C10" i="2"/>
  <c r="C7" i="2"/>
  <c r="B7" i="2"/>
  <c r="C17" i="2" s="1"/>
  <c r="D6" i="2"/>
  <c r="D5" i="2"/>
  <c r="C18" i="2" l="1"/>
  <c r="C19" i="2" s="1"/>
  <c r="C20" i="2" s="1"/>
  <c r="D7" i="2"/>
  <c r="C12" i="2"/>
  <c r="C14" i="2" s="1"/>
  <c r="B11" i="3"/>
  <c r="B14" i="3" s="1"/>
  <c r="B10" i="3"/>
  <c r="B13" i="3" s="1"/>
  <c r="C12" i="4"/>
  <c r="D14" i="4" s="1"/>
  <c r="D15" i="4"/>
  <c r="D17" i="4" s="1"/>
  <c r="D12" i="4"/>
</calcChain>
</file>

<file path=xl/sharedStrings.xml><?xml version="1.0" encoding="utf-8"?>
<sst xmlns="http://schemas.openxmlformats.org/spreadsheetml/2006/main" count="82" uniqueCount="71">
  <si>
    <t>PT 520 – Parâmetros dos procedimentos analíticos</t>
  </si>
  <si>
    <t>Suzano S.A. – consolidado – R$ mil, salvo indicação – fonte: DFP 2025 (CVM/RAD) – preparador 241003769 – 22/10/2026 – azul = dado da fonte; amarelo = parâmetro</t>
  </si>
  <si>
    <t>Parâmetro</t>
  </si>
  <si>
    <t>Valor</t>
  </si>
  <si>
    <t>Fonte</t>
  </si>
  <si>
    <t>Limite de investigação (materialidade para execução)</t>
  </si>
  <si>
    <t>PT 320</t>
  </si>
  <si>
    <t>AN1 – Receita de celulose: expectativa por volume (preço de 2024) e decomposição volume × preço</t>
  </si>
  <si>
    <t>Item</t>
  </si>
  <si>
    <t>2024</t>
  </si>
  <si>
    <t>2025</t>
  </si>
  <si>
    <t>Variação</t>
  </si>
  <si>
    <t>Receita líquida de celulose (R$ mil)</t>
  </si>
  <si>
    <t>F1 p. 190 – nota 28</t>
  </si>
  <si>
    <t>Volume vendido (mil t)</t>
  </si>
  <si>
    <t>F1 p. 61 – release, segmento celulose</t>
  </si>
  <si>
    <t>Preço médio implícito (R$/t) = receita ÷ volume</t>
  </si>
  <si>
    <t>Cálculo</t>
  </si>
  <si>
    <t>Expectativa e comparação</t>
  </si>
  <si>
    <t>Receita esperada 2025 = receita 2024 × (volume 2025 ÷ volume 2024)</t>
  </si>
  <si>
    <t>Receita registrada 2025</t>
  </si>
  <si>
    <t>Diferença (registrada – esperada)</t>
  </si>
  <si>
    <t>Limite de investigação</t>
  </si>
  <si>
    <t>Investigar?</t>
  </si>
  <si>
    <t>Investigação – decomposição da variação</t>
  </si>
  <si>
    <t>Efeito volume = (volume 2025 – volume 2024) × preço 2024</t>
  </si>
  <si>
    <t>Efeito preço = (preço 2025 – preço 2024) × volume 2025</t>
  </si>
  <si>
    <t>Soma dos efeitos = variação total</t>
  </si>
  <si>
    <t>Conferência: soma – variação (esperado zero)</t>
  </si>
  <si>
    <t>Corroboração: a administração atribui a queda ao menor preço médio líquido da celulose, só em parte compensado pela valorização do US$ médio frente ao R$ (F1 p. 43); EBITDA/t da celulose 21% menor (F1 p. 61).</t>
  </si>
  <si>
    <t>AN2 – Depreciação: duas expectativas (taxa divulgada e taxa implícita de 2024)</t>
  </si>
  <si>
    <t>Classe</t>
  </si>
  <si>
    <t>Custo 2023</t>
  </si>
  <si>
    <t>Custo 2024</t>
  </si>
  <si>
    <t>Custo 2025</t>
  </si>
  <si>
    <t>Depreciação 2024</t>
  </si>
  <si>
    <t>Taxa implícita 2024</t>
  </si>
  <si>
    <t>Depreciação 2025</t>
  </si>
  <si>
    <t>Taxa divulgada</t>
  </si>
  <si>
    <t>Esperada (taxa divulgada)</t>
  </si>
  <si>
    <t>Esperada (taxa 2024)</t>
  </si>
  <si>
    <t>Imóveis</t>
  </si>
  <si>
    <t>Máquinas, equipamentos e instalações</t>
  </si>
  <si>
    <t>Outros</t>
  </si>
  <si>
    <t>Total</t>
  </si>
  <si>
    <t>Diferença: registrada – esperada (taxa divulgada)</t>
  </si>
  <si>
    <t>Diferença: registrada – esperada (taxa 2024)</t>
  </si>
  <si>
    <t>Investigar (taxa divulgada)?</t>
  </si>
  <si>
    <t>Investigar (taxa 2024)?</t>
  </si>
  <si>
    <t>Transferência de obras para máquinas em 2024 (Ribas do Rio Pardo)</t>
  </si>
  <si>
    <t>F1 p. 157 – coluna máquinas, linha transferências 2024</t>
  </si>
  <si>
    <t>Depreciação anual desse valor à taxa divulgada (7,46%)</t>
  </si>
  <si>
    <t>Fonte: F1 p. 157 (nota 15 – custo por classe, depreciação e taxas médias). Custo médio = média do custo no início e no fim do ano.</t>
  </si>
  <si>
    <t>Leitura: a taxa implícita fica abaixo da taxa divulgada em 2024 e em 2025 (diferença sistemática); 2025 tem depreciação maior que a de 2024 pela entrada em operação de Ribas durante 2024.</t>
  </si>
  <si>
    <t>AN3 – Juros sobre empréstimos: expectativa = dívida média 2025 × taxa implícita de 2024</t>
  </si>
  <si>
    <t>2023</t>
  </si>
  <si>
    <t>Empréstimos – circulante</t>
  </si>
  <si>
    <t>F1 p. 27, conta 2.01.04</t>
  </si>
  <si>
    <t>Empréstimos – não circulante</t>
  </si>
  <si>
    <t>F1 p. 27, conta 2.02.01</t>
  </si>
  <si>
    <t>Dívida total</t>
  </si>
  <si>
    <t>Dívida média do ano</t>
  </si>
  <si>
    <t>Juros em moeda local (R$ mil)</t>
  </si>
  <si>
    <t>F1 p. 74 – release (R$ milhões × 1.000)</t>
  </si>
  <si>
    <t>Juros em moeda estrangeira (R$ mil)</t>
  </si>
  <si>
    <t>F1 p. 74 – release</t>
  </si>
  <si>
    <t>Juros totais</t>
  </si>
  <si>
    <t>Taxa implícita = juros ÷ dívida média</t>
  </si>
  <si>
    <t>Juros esperados 2025 = dívida média 2025 × taxa 2024</t>
  </si>
  <si>
    <t>Diferença (registrados – esperados)</t>
  </si>
  <si>
    <t>Os juros do release estão em R$ milhões (arredondados); a diferença de arredondamento é imaterial.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</si>
</sst>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%;\(0.00%\);\-"/>
    <numFmt numFmtId="166" formatCode="#,##0.0;\(#,##0.0\);\-"/>
  </numFmts>
  <fonts count="9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164" fontId="7" fillId="0" borderId="1" xfId="0" applyNumberFormat="1" applyFont="1" applyBorder="1"/>
    <xf numFmtId="165" fontId="5" fillId="0" borderId="1" xfId="0" applyNumberFormat="1" applyFont="1" applyBorder="1"/>
    <xf numFmtId="164" fontId="8" fillId="3" borderId="1" xfId="0" applyNumberFormat="1" applyFont="1" applyFill="1" applyBorder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showGridLines="0" zoomScaleNormal="100" workbookViewId="0">
      <selection activeCell="B11" sqref="B11"/>
    </sheetView>
  </sheetViews>
  <sheetFormatPr defaultColWidth="8.7109375" defaultRowHeight="15"/>
  <cols>
    <col min="1" max="1" width="52" customWidth="1"/>
    <col min="2" max="2" width="18" customWidth="1"/>
    <col min="3" max="3" width="60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4" t="s">
        <v>5</v>
      </c>
      <c r="B5" s="13">
        <v>125289</v>
      </c>
      <c r="C5" s="2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showGridLines="0" zoomScaleNormal="100" workbookViewId="0">
      <selection activeCell="D7" sqref="D7"/>
    </sheetView>
  </sheetViews>
  <sheetFormatPr defaultColWidth="8.7109375" defaultRowHeight="15"/>
  <cols>
    <col min="1" max="1" width="46" customWidth="1"/>
    <col min="2" max="4" width="16" customWidth="1"/>
    <col min="5" max="5" width="50" customWidth="1"/>
  </cols>
  <sheetData>
    <row r="1" spans="1:5" ht="15" customHeight="1">
      <c r="A1" s="14" t="s">
        <v>7</v>
      </c>
      <c r="B1" s="14"/>
      <c r="C1" s="14"/>
      <c r="D1" s="14"/>
      <c r="E1" s="14"/>
    </row>
    <row r="2" spans="1:5">
      <c r="A2" s="2" t="s">
        <v>1</v>
      </c>
    </row>
    <row r="4" spans="1:5">
      <c r="A4" s="3" t="s">
        <v>8</v>
      </c>
      <c r="B4" s="3" t="s">
        <v>9</v>
      </c>
      <c r="C4" s="3" t="s">
        <v>10</v>
      </c>
      <c r="D4" s="3" t="s">
        <v>11</v>
      </c>
      <c r="E4" s="3" t="s">
        <v>4</v>
      </c>
    </row>
    <row r="5" spans="1:5">
      <c r="A5" s="4" t="s">
        <v>12</v>
      </c>
      <c r="B5" s="5">
        <v>37593462</v>
      </c>
      <c r="C5" s="5">
        <v>37816141</v>
      </c>
      <c r="D5" s="6">
        <f>C5-B5</f>
        <v>222679</v>
      </c>
      <c r="E5" s="4" t="s">
        <v>13</v>
      </c>
    </row>
    <row r="6" spans="1:5">
      <c r="A6" s="4" t="s">
        <v>14</v>
      </c>
      <c r="B6" s="5">
        <v>10865</v>
      </c>
      <c r="C6" s="5">
        <v>12490</v>
      </c>
      <c r="D6" s="7">
        <f>C6/B6-1</f>
        <v>0.14956281638288083</v>
      </c>
      <c r="E6" s="4" t="s">
        <v>15</v>
      </c>
    </row>
    <row r="7" spans="1:5">
      <c r="A7" s="4" t="s">
        <v>16</v>
      </c>
      <c r="B7" s="8">
        <f>B5/B6</f>
        <v>3460.0517257248043</v>
      </c>
      <c r="C7" s="8">
        <f>C5/C6</f>
        <v>3027.7134507606083</v>
      </c>
      <c r="D7" s="7">
        <f>C7/B7-1</f>
        <v>-0.12495139068293282</v>
      </c>
      <c r="E7" s="4" t="s">
        <v>17</v>
      </c>
    </row>
    <row r="9" spans="1:5">
      <c r="A9" s="9" t="s">
        <v>18</v>
      </c>
    </row>
    <row r="10" spans="1:5">
      <c r="A10" s="4" t="s">
        <v>19</v>
      </c>
      <c r="B10" s="4"/>
      <c r="C10" s="6">
        <f>B5*C6/B6</f>
        <v>43216046.054302804</v>
      </c>
    </row>
    <row r="11" spans="1:5">
      <c r="A11" s="4" t="s">
        <v>20</v>
      </c>
      <c r="B11" s="4"/>
      <c r="C11" s="6">
        <f>C5</f>
        <v>37816141</v>
      </c>
    </row>
    <row r="12" spans="1:5">
      <c r="A12" s="10" t="s">
        <v>21</v>
      </c>
      <c r="B12" s="10"/>
      <c r="C12" s="11">
        <f>C11-C10</f>
        <v>-5399905.0543028042</v>
      </c>
    </row>
    <row r="13" spans="1:5">
      <c r="A13" s="4" t="s">
        <v>22</v>
      </c>
      <c r="B13" s="4"/>
      <c r="C13" s="6">
        <f>Parâmetros!B5</f>
        <v>125289</v>
      </c>
    </row>
    <row r="14" spans="1:5">
      <c r="A14" s="4" t="s">
        <v>23</v>
      </c>
      <c r="B14" s="4"/>
      <c r="C14" s="4" t="str">
        <f>IF(ABS(C12)&gt;C13,"Sim","Não")</f>
        <v>Sim</v>
      </c>
    </row>
    <row r="16" spans="1:5">
      <c r="A16" s="9" t="s">
        <v>24</v>
      </c>
    </row>
    <row r="17" spans="1:3">
      <c r="A17" s="4" t="s">
        <v>25</v>
      </c>
      <c r="B17" s="4"/>
      <c r="C17" s="6">
        <f>(C6-B6)*B7</f>
        <v>5622584.054302807</v>
      </c>
    </row>
    <row r="18" spans="1:3">
      <c r="A18" s="4" t="s">
        <v>26</v>
      </c>
      <c r="B18" s="4"/>
      <c r="C18" s="6">
        <f>(C7-B7)*C6</f>
        <v>-5399905.0543028079</v>
      </c>
    </row>
    <row r="19" spans="1:3">
      <c r="A19" s="10" t="s">
        <v>27</v>
      </c>
      <c r="B19" s="10"/>
      <c r="C19" s="11">
        <f>C17+C18</f>
        <v>222678.99999999907</v>
      </c>
    </row>
    <row r="20" spans="1:3">
      <c r="A20" s="4" t="s">
        <v>28</v>
      </c>
      <c r="B20" s="4"/>
      <c r="C20" s="6">
        <f>C19-D5</f>
        <v>-9.3132257461547852E-10</v>
      </c>
    </row>
    <row r="22" spans="1:3">
      <c r="A22" s="2" t="s">
        <v>29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zoomScaleNormal="100" workbookViewId="0">
      <selection activeCell="E24" sqref="E24"/>
    </sheetView>
  </sheetViews>
  <sheetFormatPr defaultColWidth="8.7109375" defaultRowHeight="15"/>
  <cols>
    <col min="1" max="1" width="61.140625" customWidth="1"/>
    <col min="2" max="5" width="14" customWidth="1"/>
    <col min="6" max="6" width="12" customWidth="1"/>
    <col min="7" max="7" width="14" customWidth="1"/>
    <col min="8" max="8" width="12" customWidth="1"/>
    <col min="9" max="10" width="14" customWidth="1"/>
  </cols>
  <sheetData>
    <row r="1" spans="1:10" ht="15" customHeight="1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2" t="s">
        <v>1</v>
      </c>
    </row>
    <row r="4" spans="1:10" ht="35.1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</row>
    <row r="5" spans="1:10">
      <c r="A5" s="4" t="s">
        <v>41</v>
      </c>
      <c r="B5" s="5">
        <v>10032317</v>
      </c>
      <c r="C5" s="5">
        <v>13816631</v>
      </c>
      <c r="D5" s="5">
        <v>14589194</v>
      </c>
      <c r="E5" s="5">
        <v>366398</v>
      </c>
      <c r="F5" s="7">
        <f>E5/AVERAGE(B5:C5)</f>
        <v>3.0726554479468024E-2</v>
      </c>
      <c r="G5" s="5">
        <v>434875</v>
      </c>
      <c r="H5" s="12">
        <v>3.2800000000000003E-2</v>
      </c>
      <c r="I5" s="6">
        <f>AVERAGE(C5:D5)*H5</f>
        <v>465855.53</v>
      </c>
      <c r="J5" s="6">
        <f>AVERAGE(C5:D5)*F5</f>
        <v>436406.56469836738</v>
      </c>
    </row>
    <row r="6" spans="1:10">
      <c r="A6" s="4" t="s">
        <v>42</v>
      </c>
      <c r="B6" s="5">
        <v>48456537</v>
      </c>
      <c r="C6" s="5">
        <v>62822096</v>
      </c>
      <c r="D6" s="5">
        <v>66353229</v>
      </c>
      <c r="E6" s="5">
        <v>3214550</v>
      </c>
      <c r="F6" s="7">
        <f>E6/AVERAGE(B6:C6)</f>
        <v>5.7774793117740759E-2</v>
      </c>
      <c r="G6" s="5">
        <v>4123031</v>
      </c>
      <c r="H6" s="12">
        <v>7.46E-2</v>
      </c>
      <c r="I6" s="6">
        <f>AVERAGE(C6:D6)*H6</f>
        <v>4818239.6224999996</v>
      </c>
      <c r="J6" s="6">
        <f>AVERAGE(C6:D6)*F6</f>
        <v>3731538.838895963</v>
      </c>
    </row>
    <row r="7" spans="1:10">
      <c r="A7" s="4" t="s">
        <v>43</v>
      </c>
      <c r="B7" s="5">
        <v>1491663</v>
      </c>
      <c r="C7" s="5">
        <v>1806592</v>
      </c>
      <c r="D7" s="5">
        <v>1830011</v>
      </c>
      <c r="E7" s="5">
        <v>222993</v>
      </c>
      <c r="F7" s="7">
        <f>E7/AVERAGE(B7:C7)</f>
        <v>0.13521877477635902</v>
      </c>
      <c r="G7" s="5">
        <v>287270</v>
      </c>
      <c r="H7" s="12">
        <v>0.2069</v>
      </c>
      <c r="I7" s="6">
        <f>AVERAGE(C7:D7)*H7</f>
        <v>376206.58035</v>
      </c>
      <c r="J7" s="6">
        <f>AVERAGE(C7:D7)*F7</f>
        <v>245868.50100401576</v>
      </c>
    </row>
    <row r="8" spans="1:10">
      <c r="A8" s="10" t="s">
        <v>44</v>
      </c>
      <c r="B8" s="10"/>
      <c r="C8" s="10"/>
      <c r="D8" s="10"/>
      <c r="E8" s="11">
        <f>SUM(E5:E7)</f>
        <v>3803941</v>
      </c>
      <c r="F8" s="10"/>
      <c r="G8" s="11">
        <f>SUM(G5:G7)</f>
        <v>4845176</v>
      </c>
      <c r="H8" s="10"/>
      <c r="I8" s="11">
        <f>SUM(I5:I7)</f>
        <v>5660301.7328500003</v>
      </c>
      <c r="J8" s="11">
        <f>SUM(J5:J7)</f>
        <v>4413813.904598346</v>
      </c>
    </row>
    <row r="10" spans="1:10">
      <c r="A10" s="10" t="s">
        <v>45</v>
      </c>
      <c r="B10" s="11">
        <f>G8-I8</f>
        <v>-815125.73285000026</v>
      </c>
    </row>
    <row r="11" spans="1:10">
      <c r="A11" s="10" t="s">
        <v>46</v>
      </c>
      <c r="B11" s="11">
        <f>G8-J8</f>
        <v>431362.09540165402</v>
      </c>
    </row>
    <row r="12" spans="1:10">
      <c r="A12" s="4" t="s">
        <v>22</v>
      </c>
      <c r="B12" s="6">
        <f>Parâmetros!B5</f>
        <v>125289</v>
      </c>
    </row>
    <row r="13" spans="1:10">
      <c r="A13" s="4" t="s">
        <v>47</v>
      </c>
      <c r="B13" s="4" t="str">
        <f>IF(ABS(B10)&gt;B12,"Sim","Não")</f>
        <v>Sim</v>
      </c>
    </row>
    <row r="14" spans="1:10">
      <c r="A14" s="4" t="s">
        <v>48</v>
      </c>
      <c r="B14" s="4" t="str">
        <f>IF(ABS(B11)&gt;B12,"Sim","Não")</f>
        <v>Sim</v>
      </c>
    </row>
    <row r="16" spans="1:10">
      <c r="A16" s="4" t="s">
        <v>49</v>
      </c>
      <c r="B16" s="5">
        <v>16660035</v>
      </c>
      <c r="C16" s="2" t="s">
        <v>50</v>
      </c>
    </row>
    <row r="17" spans="1:2">
      <c r="A17" s="4" t="s">
        <v>51</v>
      </c>
      <c r="B17" s="6">
        <f>B16*H6</f>
        <v>1242838.611</v>
      </c>
    </row>
    <row r="19" spans="1:2">
      <c r="A19" s="2" t="s">
        <v>52</v>
      </c>
    </row>
    <row r="20" spans="1:2">
      <c r="A20" s="2" t="s">
        <v>53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tabSelected="1" zoomScaleNormal="100" workbookViewId="0">
      <selection sqref="A1:E1"/>
    </sheetView>
  </sheetViews>
  <sheetFormatPr defaultColWidth="8.7109375" defaultRowHeight="15"/>
  <cols>
    <col min="1" max="1" width="50" customWidth="1"/>
    <col min="2" max="4" width="16" customWidth="1"/>
    <col min="5" max="5" width="44" customWidth="1"/>
  </cols>
  <sheetData>
    <row r="1" spans="1:5" ht="15" customHeight="1">
      <c r="A1" s="14" t="s">
        <v>54</v>
      </c>
      <c r="B1" s="14"/>
      <c r="C1" s="14"/>
      <c r="D1" s="14"/>
      <c r="E1" s="14"/>
    </row>
    <row r="2" spans="1:5">
      <c r="A2" s="2" t="s">
        <v>1</v>
      </c>
    </row>
    <row r="4" spans="1:5">
      <c r="A4" s="3" t="s">
        <v>8</v>
      </c>
      <c r="B4" s="3" t="s">
        <v>55</v>
      </c>
      <c r="C4" s="3" t="s">
        <v>9</v>
      </c>
      <c r="D4" s="3" t="s">
        <v>10</v>
      </c>
      <c r="E4" s="3" t="s">
        <v>4</v>
      </c>
    </row>
    <row r="5" spans="1:5">
      <c r="A5" s="4" t="s">
        <v>56</v>
      </c>
      <c r="B5" s="5">
        <v>4758247</v>
      </c>
      <c r="C5" s="5">
        <v>10501387</v>
      </c>
      <c r="D5" s="5">
        <v>3004905</v>
      </c>
      <c r="E5" s="4" t="s">
        <v>57</v>
      </c>
    </row>
    <row r="6" spans="1:5">
      <c r="A6" s="4" t="s">
        <v>58</v>
      </c>
      <c r="B6" s="5">
        <v>72414445</v>
      </c>
      <c r="C6" s="5">
        <v>90934144</v>
      </c>
      <c r="D6" s="5">
        <v>91796352</v>
      </c>
      <c r="E6" s="4" t="s">
        <v>59</v>
      </c>
    </row>
    <row r="7" spans="1:5">
      <c r="A7" s="10" t="s">
        <v>60</v>
      </c>
      <c r="B7" s="11">
        <f>B5+B6</f>
        <v>77172692</v>
      </c>
      <c r="C7" s="11">
        <f>C5+C6</f>
        <v>101435531</v>
      </c>
      <c r="D7" s="11">
        <f>D5+D6</f>
        <v>94801257</v>
      </c>
    </row>
    <row r="8" spans="1:5">
      <c r="A8" s="4" t="s">
        <v>61</v>
      </c>
      <c r="B8" s="4"/>
      <c r="C8" s="6">
        <f>AVERAGE(B7:C7)</f>
        <v>89304111.5</v>
      </c>
      <c r="D8" s="6">
        <f>AVERAGE(C7:D7)</f>
        <v>98118394</v>
      </c>
    </row>
    <row r="9" spans="1:5">
      <c r="A9" s="4" t="s">
        <v>62</v>
      </c>
      <c r="B9" s="4"/>
      <c r="C9" s="5">
        <v>1470000</v>
      </c>
      <c r="D9" s="5">
        <v>2125000</v>
      </c>
      <c r="E9" s="4" t="s">
        <v>63</v>
      </c>
    </row>
    <row r="10" spans="1:5">
      <c r="A10" s="4" t="s">
        <v>64</v>
      </c>
      <c r="B10" s="4"/>
      <c r="C10" s="5">
        <v>3944000</v>
      </c>
      <c r="D10" s="5">
        <v>3828000</v>
      </c>
      <c r="E10" s="4" t="s">
        <v>65</v>
      </c>
    </row>
    <row r="11" spans="1:5">
      <c r="A11" s="10" t="s">
        <v>66</v>
      </c>
      <c r="B11" s="10"/>
      <c r="C11" s="11">
        <f>C9+C10</f>
        <v>5414000</v>
      </c>
      <c r="D11" s="11">
        <f>D9+D10</f>
        <v>5953000</v>
      </c>
    </row>
    <row r="12" spans="1:5">
      <c r="A12" s="4" t="s">
        <v>67</v>
      </c>
      <c r="B12" s="4"/>
      <c r="C12" s="7">
        <f>C11/C8</f>
        <v>6.0624308433996348E-2</v>
      </c>
      <c r="D12" s="7">
        <f>D11/D8</f>
        <v>6.0671600474830438E-2</v>
      </c>
    </row>
    <row r="14" spans="1:5">
      <c r="A14" s="4" t="s">
        <v>68</v>
      </c>
      <c r="B14" s="4"/>
      <c r="C14" s="4"/>
      <c r="D14" s="6">
        <f>D8*C12</f>
        <v>5948359.7809043769</v>
      </c>
    </row>
    <row r="15" spans="1:5">
      <c r="A15" s="10" t="s">
        <v>69</v>
      </c>
      <c r="B15" s="10"/>
      <c r="C15" s="10"/>
      <c r="D15" s="11">
        <f>D11-D14</f>
        <v>4640.2190956231207</v>
      </c>
    </row>
    <row r="16" spans="1:5">
      <c r="A16" s="4" t="s">
        <v>22</v>
      </c>
      <c r="B16" s="4"/>
      <c r="C16" s="4"/>
      <c r="D16" s="6">
        <f>Parâmetros!B5</f>
        <v>125289</v>
      </c>
    </row>
    <row r="17" spans="1:4">
      <c r="A17" s="4" t="s">
        <v>23</v>
      </c>
      <c r="B17" s="4"/>
      <c r="C17" s="4"/>
      <c r="D17" s="4" t="str">
        <f>IF(ABS(D15)&gt;D16,"Sim","Não")</f>
        <v>Não</v>
      </c>
    </row>
    <row r="19" spans="1:4">
      <c r="A19" s="2" t="s">
        <v>70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2026-10-22T16:12:00Z</dcterms:created>
  <dcterms:modified xsi:type="dcterms:W3CDTF">2026-10-22T16:16:49Z</dcterms:modified>
  <cp:category/>
  <cp:contentStatus/>
</cp:coreProperties>
</file>
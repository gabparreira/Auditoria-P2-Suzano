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1"/>
  <workbookPr/>
  <xr:revisionPtr revIDLastSave="0" documentId="8_{CB84A217-4289-48A7-A5A8-24C680153C02}" xr6:coauthVersionLast="47" xr6:coauthVersionMax="47" xr10:uidLastSave="{00000000-0000-0000-0000-000000000000}"/>
  <bookViews>
    <workbookView xWindow="0" yWindow="0" windowWidth="16384" windowHeight="8192" tabRatio="500" firstSheet="4" activeTab="4" xr2:uid="{00000000-000D-0000-FFFF-FFFF00000000}"/>
  </bookViews>
  <sheets>
    <sheet name="Leia-me" sheetId="1" r:id="rId1"/>
    <sheet name="Bases" sheetId="2" r:id="rId2"/>
    <sheet name="Comparação" sheetId="3" r:id="rId3"/>
    <sheet name="Simulador" sheetId="4" r:id="rId4"/>
    <sheet name="Fontes" sheetId="5" r:id="rId5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7" i="3" l="1"/>
  <c r="C7" i="3"/>
  <c r="B7" i="3"/>
  <c r="D6" i="3"/>
  <c r="C6" i="3"/>
  <c r="B6" i="3"/>
  <c r="D5" i="3"/>
  <c r="C5" i="3"/>
  <c r="B5" i="3"/>
  <c r="D4" i="3"/>
  <c r="C4" i="3"/>
  <c r="B4" i="3"/>
  <c r="D2" i="3"/>
  <c r="C2" i="3"/>
  <c r="B2" i="3"/>
  <c r="D11" i="2"/>
  <c r="B3" i="3" s="1"/>
  <c r="H3" i="3" l="1"/>
  <c r="I3" i="3" s="1"/>
  <c r="G3" i="3"/>
  <c r="H2" i="3"/>
  <c r="I2" i="3" s="1"/>
  <c r="G2" i="3"/>
  <c r="B4" i="4"/>
  <c r="B6" i="4" s="1"/>
  <c r="H4" i="3"/>
  <c r="I4" i="3" s="1"/>
  <c r="G4" i="3"/>
  <c r="H5" i="3"/>
  <c r="I5" i="3" s="1"/>
  <c r="G5" i="3"/>
  <c r="H6" i="3"/>
  <c r="I6" i="3" s="1"/>
  <c r="G6" i="3"/>
  <c r="H7" i="3"/>
  <c r="I7" i="3" s="1"/>
  <c r="G7" i="3"/>
  <c r="B15" i="4" l="1"/>
  <c r="B14" i="4"/>
  <c r="B13" i="4"/>
  <c r="B10" i="4"/>
  <c r="B8" i="4"/>
</calcChain>
</file>

<file path=xl/sharedStrings.xml><?xml version="1.0" encoding="utf-8"?>
<sst xmlns="http://schemas.openxmlformats.org/spreadsheetml/2006/main" count="121" uniqueCount="116">
  <si>
    <t>PT 320 – Levantamento das bases para materialidade</t>
  </si>
  <si>
    <t>Suzano S.A. – demonstrações consolidadas – valores em R$ mil</t>
  </si>
  <si>
    <t>Preparado por: matrícula 241003769 – 20/10/2026 – trabalho acadêmico, não constitui opinião de auditoria</t>
  </si>
  <si>
    <t>Como usar</t>
  </si>
  <si>
    <t>1. Aba "Bases": valores extraídos da DFP 2025 (texto em azul = dado de fonte; cada linha indica a página).</t>
  </si>
  <si>
    <t>2. Aba "Comparação": faixas de materialidade para cada base. Os percentuais mínimo e máximo (azul) podem ser alterados.</t>
  </si>
  <si>
    <t>3. Aba "Simulador": escolha a base e os percentuais nas células amarelas; a planilha calcula materialidade global, para execução e limite de distorção trivial.</t>
  </si>
  <si>
    <t>4. Aba "Fontes": documentos, endereços e páginas.</t>
  </si>
  <si>
    <t>Convenção de cores</t>
  </si>
  <si>
    <t>Azul = dado de entrada ou fonte · Preto = fórmula · Verde = link para outra aba · Fundo amarelo = escolha do preparador</t>
  </si>
  <si>
    <t>Referência normativa</t>
  </si>
  <si>
    <t>NBC TA 320 (R1), itens A4–A8: referenciais possíveis (lucro antes do imposto, receita, lucro bruto, despesas, patrimônio líquido, ativos);</t>
  </si>
  <si>
    <t>lucro volátil pode justificar outro referencial ou lucro normalizado (A5–A6); exemplo de 5% do lucro antes do imposto para manufatura (A8).</t>
  </si>
  <si>
    <t>Base (consolidado, R$ mil)</t>
  </si>
  <si>
    <t>2023</t>
  </si>
  <si>
    <t>2024</t>
  </si>
  <si>
    <t>2025</t>
  </si>
  <si>
    <t>Fonte / página</t>
  </si>
  <si>
    <t>Observação</t>
  </si>
  <si>
    <t>Receita líquida</t>
  </si>
  <si>
    <t>F1 p. 30 – DRE, conta 3.01</t>
  </si>
  <si>
    <t>Lucro (prejuízo) antes dos tributos sobre o lucro</t>
  </si>
  <si>
    <t>F1 p. 30 – DRE, conta 3.07</t>
  </si>
  <si>
    <t>Prejuízo em 2024 causado pelo resultado financeiro (câmbio e derivativos)</t>
  </si>
  <si>
    <t>Resultado financeiro</t>
  </si>
  <si>
    <t>F1 p. 30 – DRE, conta 3.06</t>
  </si>
  <si>
    <t>Explica a volatilidade do lucro</t>
  </si>
  <si>
    <t>Lucro (prejuízo) líquido consolidado</t>
  </si>
  <si>
    <t>F1 p. 30 – DRE, conta 3.11</t>
  </si>
  <si>
    <t>Resultado bruto</t>
  </si>
  <si>
    <t>F1 p. 30 – DRE, conta 3.03</t>
  </si>
  <si>
    <t>EBITDA ajustado</t>
  </si>
  <si>
    <t>F1 p. 44–45 – Relatório da Administração</t>
  </si>
  <si>
    <t>Medida gerencial, não auditada; divulgada em R$ milhões (convertida)</t>
  </si>
  <si>
    <t>Ativo total</t>
  </si>
  <si>
    <t>F1 p. 25 – BP, conta 1</t>
  </si>
  <si>
    <t>Patrimônio líquido consolidado</t>
  </si>
  <si>
    <t>F1 p. 28 – BP, conta 2.03</t>
  </si>
  <si>
    <t>Imobilizado (nota 15)</t>
  </si>
  <si>
    <t>F2 p. 70 – BP; nota 15</t>
  </si>
  <si>
    <t>Conta da base simulada – só para comparação</t>
  </si>
  <si>
    <t>Lucro antes dos tributos normalizado (média 2023–2025)</t>
  </si>
  <si>
    <t>Cálculo – NBC TA 320, A6</t>
  </si>
  <si>
    <t>Média simples dos 3 anos, para neutralizar a oscilação do resultado financeiro</t>
  </si>
  <si>
    <t>Valores em R$ mil. Texto azul = dado copiado da fonte. EBITDA ajustado: R$ 21.736 milhões (2025) e R$ 23.849 milhões (2024); 2023 não consta na DFP 2025.</t>
  </si>
  <si>
    <t>Base</t>
  </si>
  <si>
    <t>Valor 2025</t>
  </si>
  <si>
    <t>Variação 2024→2025</t>
  </si>
  <si>
    <t>Oscilação 2023–2025 (desvio/média)</t>
  </si>
  <si>
    <t>% mínimo</t>
  </si>
  <si>
    <t>% máximo</t>
  </si>
  <si>
    <t>Materialidade mínima</t>
  </si>
  <si>
    <t>Materialidade máxima</t>
  </si>
  <si>
    <t>Mat. máxima em % do lucro antes dos tributos 2025</t>
  </si>
  <si>
    <t>A favor</t>
  </si>
  <si>
    <t>Contra</t>
  </si>
  <si>
    <t>Lucro antes dos tributos 2025</t>
  </si>
  <si>
    <t>Referencial mais usado para entidades com fins lucrativos (A5); 5% é o exemplo da norma para manufatura (A8)</t>
  </si>
  <si>
    <t>Muito volátil: prejuízo de R$ 13,1 bi em 2024 e lucro de R$ 20,4 bi em 2025, por câmbio e derivativos</t>
  </si>
  <si>
    <t>Lucro antes dos tributos normalizado (média 3 anos)</t>
  </si>
  <si>
    <t>n.a.</t>
  </si>
  <si>
    <t>Atenua a volatilidade, como prevê a norma (A6); mantém o foco no resultado</t>
  </si>
  <si>
    <t>Média depende do período escolhido; mistura um ano de prejuízo</t>
  </si>
  <si>
    <t>Estável e crescente; recomendada quando o lucro é volátil (A5); usuários acompanham volume e preço da celulose</t>
  </si>
  <si>
    <t>Não reflete a rentabilidade; pode gerar materialidade alta em relação ao lucro</t>
  </si>
  <si>
    <t>Indicador acompanhado pelo mercado e usado em cláusulas de dívida (dívida líquida/EBITDA)</t>
  </si>
  <si>
    <t>Medida gerencial, não auditada e definida pela própria Companhia</t>
  </si>
  <si>
    <t>Empresa intensiva em capital (imobilizado e florestas); base estável</t>
  </si>
  <si>
    <t>Gera os maiores valores; menos usada para companhias abertas com foco em resultado</t>
  </si>
  <si>
    <t>Patrimônio líquido</t>
  </si>
  <si>
    <t>Relevante para acionistas</t>
  </si>
  <si>
    <t>Oscilou com o prejuízo de 2024 (R$ 32,4 bi para R$ 44,0 bi)</t>
  </si>
  <si>
    <t>Leitura: "Oscilação" = desvio-padrão dos 3 anos dividido pela média; quanto maior, menos estável a base (NBC TA 320, A4(e)).</t>
  </si>
  <si>
    <t>Faixas percentuais: referências usuais de mercado, ajustáveis (azul). A norma cita 5% do lucro antes do imposto como exemplo para manufatura (A8).</t>
  </si>
  <si>
    <t>A coluna I mostra quanto a materialidade representaria do lucro antes dos tributos de 2025 – ajuda a avaliar se o valor é razoável para o usuário.</t>
  </si>
  <si>
    <t>EBITDA ajustado, oscilação: calculada só com 2024 e 2025. Variação 2024→2025 do lucro usa o valor absoluto de 2024 (prejuízo).</t>
  </si>
  <si>
    <t>Simulador de materialidade (preencha as células amarelas)</t>
  </si>
  <si>
    <t>Base escolhida</t>
  </si>
  <si>
    <t>Selecione na lista</t>
  </si>
  <si>
    <t>Valor da base (R$ mil)</t>
  </si>
  <si>
    <t>Puxado da aba Comparação</t>
  </si>
  <si>
    <t>% aplicado</t>
  </si>
  <si>
    <t>Julgamento do preparador</t>
  </si>
  <si>
    <t>Materialidade global (R$ mil)</t>
  </si>
  <si>
    <t>NBC TA 320, item 10</t>
  </si>
  <si>
    <t>% para materialidade de execução</t>
  </si>
  <si>
    <t>Prática de mercado: 50% a 75% da global, conforme o risco; a norma não fixa percentual (item 11)</t>
  </si>
  <si>
    <t>Materialidade para execução (R$ mil)</t>
  </si>
  <si>
    <t>NBC TA 320, item 11</t>
  </si>
  <si>
    <t>% para limite de distorção claramente trivial</t>
  </si>
  <si>
    <t>Prática de mercado: 3% a 5% da global; a norma não fixa percentual (NBC TA 450, A2)</t>
  </si>
  <si>
    <t>Limite de distorção claramente trivial (R$ mil)</t>
  </si>
  <si>
    <t>Abaixo disso, a distorção não é acumulada</t>
  </si>
  <si>
    <t>Para comparação</t>
  </si>
  <si>
    <t>Materialidade global em % do ativo total</t>
  </si>
  <si>
    <t>Materialidade global em % do lucro antes dos tributos 2025</t>
  </si>
  <si>
    <t>Materialidade global em % do imobilizado</t>
  </si>
  <si>
    <t>Conta da base simulada (PT 530)</t>
  </si>
  <si>
    <t>Escolha do preparador (20/10/2026): receita líquida, 0,5% (global) e 50% (execução) – fundamentação no PT 320.</t>
  </si>
  <si>
    <t>Ref.</t>
  </si>
  <si>
    <t>Documento</t>
  </si>
  <si>
    <t>Endereço eletrônico</t>
  </si>
  <si>
    <t>Data de acesso</t>
  </si>
  <si>
    <t>Páginas</t>
  </si>
  <si>
    <t>F1</t>
  </si>
  <si>
    <t>DFP 31/12/2025, versão 1 – Suzano S.A. (demonstrações individuais e consolidadas)</t>
  </si>
  <si>
    <t>https://www.rad.cvm.gov.br/ENETWEB/frmGerenciaPaginaFRE.aspx?NumeroSequencialDocumento=154674&amp;CodigoTipoInstituicao=1</t>
  </si>
  <si>
    <t>p. 25, 28, 30, 44–45</t>
  </si>
  <si>
    <t>F2</t>
  </si>
  <si>
    <t>Demonstrações financeiras 2025 – site de RI da Suzano</t>
  </si>
  <si>
    <t>https://ri.suzano.com.br/Portuguese/Informacoes-Financeiras/Central-de-Resultados/default.aspx</t>
  </si>
  <si>
    <t>p. 70 (balanço; nota 15)</t>
  </si>
  <si>
    <t>F3</t>
  </si>
  <si>
    <t>NBC TA 320 (R1) – Materialidade no planejamento e na execução da auditoria</t>
  </si>
  <si>
    <t>https://www1.cfc.org.br/sisweb/sre/detalhes_sre.aspx?codigo=2016/NBCTA320(R1)</t>
  </si>
  <si>
    <t xml:space="preserve">Itens 10–11, A4–A8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</si>
</sst>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-"/>
    <numFmt numFmtId="165" formatCode="0.0%;\(0.0%\);\-"/>
    <numFmt numFmtId="166" formatCode="0.0%"/>
  </numFmts>
  <fonts count="12">
    <font>
      <sz val="11"/>
      <color theme="1"/>
      <name val="Calibri"/>
      <family val="2"/>
      <charset val="1"/>
    </font>
    <font>
      <b/>
      <sz val="14"/>
      <name val="Arial"/>
      <charset val="1"/>
    </font>
    <font>
      <sz val="10"/>
      <name val="Arial"/>
      <charset val="1"/>
    </font>
    <font>
      <b/>
      <sz val="11"/>
      <name val="Arial"/>
      <charset val="1"/>
    </font>
    <font>
      <b/>
      <sz val="10"/>
      <color rgb="FFFFFFFF"/>
      <name val="Arial"/>
      <charset val="1"/>
    </font>
    <font>
      <sz val="10"/>
      <color rgb="FF0000FF"/>
      <name val="Arial"/>
      <charset val="1"/>
    </font>
    <font>
      <sz val="9"/>
      <name val="Arial"/>
      <charset val="1"/>
    </font>
    <font>
      <i/>
      <sz val="9"/>
      <name val="Arial"/>
      <charset val="1"/>
    </font>
    <font>
      <b/>
      <sz val="10"/>
      <name val="Arial"/>
      <charset val="1"/>
    </font>
    <font>
      <sz val="10"/>
      <color rgb="FF008000"/>
      <name val="Arial"/>
      <charset val="1"/>
    </font>
    <font>
      <b/>
      <sz val="12"/>
      <name val="Arial"/>
      <charset val="1"/>
    </font>
    <font>
      <u/>
      <sz val="11"/>
      <color theme="10"/>
      <name val="Calibri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F00"/>
        <bgColor rgb="FFFFFF00"/>
      </patternFill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BFBFBF"/>
      </bottom>
      <diagonal/>
    </border>
  </borders>
  <cellStyleXfs count="2">
    <xf numFmtId="0" fontId="0" fillId="0" borderId="0"/>
    <xf numFmtId="0" fontId="11" fillId="0" borderId="0" applyNumberFormat="0" applyFill="0" applyBorder="0" applyAlignment="0" applyProtection="0"/>
  </cellStyleXfs>
  <cellXfs count="34">
    <xf numFmtId="0" fontId="0" fillId="0" borderId="0" xfId="0"/>
    <xf numFmtId="0" fontId="2" fillId="0" borderId="0" xfId="0" applyFont="1"/>
    <xf numFmtId="0" fontId="3" fillId="0" borderId="0" xfId="0" applyFont="1"/>
    <xf numFmtId="0" fontId="4" fillId="2" borderId="0" xfId="0" applyFont="1" applyFill="1" applyAlignment="1">
      <alignment horizontal="center" vertical="center" wrapText="1"/>
    </xf>
    <xf numFmtId="0" fontId="2" fillId="0" borderId="1" xfId="0" applyFont="1" applyBorder="1" applyAlignment="1">
      <alignment vertical="top" wrapText="1"/>
    </xf>
    <xf numFmtId="0" fontId="6" fillId="0" borderId="1" xfId="0" applyFont="1" applyBorder="1" applyAlignment="1">
      <alignment vertical="top" wrapText="1"/>
    </xf>
    <xf numFmtId="0" fontId="7" fillId="0" borderId="1" xfId="0" applyFont="1" applyBorder="1" applyAlignment="1">
      <alignment vertical="top" wrapText="1"/>
    </xf>
    <xf numFmtId="0" fontId="8" fillId="0" borderId="1" xfId="0" applyFont="1" applyBorder="1"/>
    <xf numFmtId="0" fontId="0" fillId="0" borderId="1" xfId="0" applyBorder="1"/>
    <xf numFmtId="164" fontId="8" fillId="0" borderId="1" xfId="0" applyNumberFormat="1" applyFont="1" applyBorder="1"/>
    <xf numFmtId="0" fontId="6" fillId="0" borderId="1" xfId="0" applyFont="1" applyBorder="1"/>
    <xf numFmtId="0" fontId="7" fillId="0" borderId="1" xfId="0" applyFont="1" applyBorder="1"/>
    <xf numFmtId="0" fontId="7" fillId="0" borderId="0" xfId="0" applyFont="1"/>
    <xf numFmtId="0" fontId="10" fillId="0" borderId="0" xfId="0" applyFont="1"/>
    <xf numFmtId="0" fontId="2" fillId="0" borderId="1" xfId="0" applyFont="1" applyBorder="1"/>
    <xf numFmtId="0" fontId="5" fillId="3" borderId="1" xfId="0" applyFont="1" applyFill="1" applyBorder="1"/>
    <xf numFmtId="164" fontId="2" fillId="0" borderId="1" xfId="0" applyNumberFormat="1" applyFont="1" applyBorder="1"/>
    <xf numFmtId="166" fontId="5" fillId="3" borderId="1" xfId="0" applyNumberFormat="1" applyFont="1" applyFill="1" applyBorder="1"/>
    <xf numFmtId="10" fontId="2" fillId="0" borderId="1" xfId="0" applyNumberFormat="1" applyFont="1" applyBorder="1"/>
    <xf numFmtId="0" fontId="7" fillId="0" borderId="0" xfId="0" applyFont="1" applyAlignment="1">
      <alignment wrapText="1"/>
    </xf>
    <xf numFmtId="164" fontId="5" fillId="0" borderId="1" xfId="0" applyNumberFormat="1" applyFont="1" applyBorder="1" applyAlignment="1">
      <alignment horizontal="center" vertical="center"/>
    </xf>
    <xf numFmtId="164" fontId="8" fillId="0" borderId="1" xfId="0" applyNumberFormat="1" applyFont="1" applyBorder="1" applyAlignment="1">
      <alignment horizontal="center" vertical="center"/>
    </xf>
    <xf numFmtId="164" fontId="9" fillId="0" borderId="1" xfId="0" applyNumberFormat="1" applyFont="1" applyBorder="1" applyAlignment="1">
      <alignment horizontal="center" vertical="center"/>
    </xf>
    <xf numFmtId="165" fontId="2" fillId="0" borderId="1" xfId="0" applyNumberFormat="1" applyFont="1" applyBorder="1" applyAlignment="1">
      <alignment horizontal="center" vertical="center"/>
    </xf>
    <xf numFmtId="166" fontId="5" fillId="0" borderId="1" xfId="0" applyNumberFormat="1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vertical="center" wrapText="1"/>
    </xf>
    <xf numFmtId="0" fontId="6" fillId="0" borderId="1" xfId="0" applyFont="1" applyBorder="1" applyAlignment="1">
      <alignment vertical="center" wrapText="1"/>
    </xf>
    <xf numFmtId="0" fontId="11" fillId="0" borderId="1" xfId="1" applyFill="1" applyBorder="1" applyAlignment="1">
      <alignment vertical="top" wrapText="1"/>
    </xf>
    <xf numFmtId="14" fontId="6" fillId="0" borderId="1" xfId="0" applyNumberFormat="1" applyFont="1" applyBorder="1" applyAlignment="1">
      <alignment vertical="top" wrapText="1"/>
    </xf>
    <xf numFmtId="0" fontId="1" fillId="4" borderId="0" xfId="0" applyFont="1" applyFill="1" applyAlignment="1">
      <alignment horizontal="center"/>
    </xf>
    <xf numFmtId="0" fontId="7" fillId="0" borderId="0" xfId="0" applyFont="1" applyAlignment="1">
      <alignment horizontal="left" vertical="center" wrapText="1"/>
    </xf>
    <xf numFmtId="0" fontId="7" fillId="0" borderId="0" xfId="0" applyFont="1" applyAlignment="1">
      <alignment horizontal="left" wrapText="1"/>
    </xf>
  </cellXfs>
  <cellStyles count="2">
    <cellStyle name="Hyperlink" xfId="1" xr:uid="{00000000-000B-0000-0000-000008000000}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s://ri.suzano.com.br/Portuguese/Informacoes-Financeiras/Central-de-Resultados/default.asp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6"/>
  <sheetViews>
    <sheetView showGridLines="0" zoomScaleNormal="100" workbookViewId="0">
      <selection sqref="A1:D1"/>
    </sheetView>
  </sheetViews>
  <sheetFormatPr defaultColWidth="8.7109375" defaultRowHeight="15"/>
  <cols>
    <col min="1" max="1" width="110" customWidth="1"/>
  </cols>
  <sheetData>
    <row r="1" spans="1:4" ht="17.45" customHeight="1">
      <c r="A1" s="31" t="s">
        <v>0</v>
      </c>
      <c r="B1" s="31"/>
      <c r="C1" s="31"/>
      <c r="D1" s="31"/>
    </row>
    <row r="2" spans="1:4">
      <c r="A2" s="1" t="s">
        <v>1</v>
      </c>
    </row>
    <row r="3" spans="1:4">
      <c r="A3" s="1" t="s">
        <v>2</v>
      </c>
    </row>
    <row r="4" spans="1:4">
      <c r="A4" s="1"/>
    </row>
    <row r="5" spans="1:4">
      <c r="A5" s="2" t="s">
        <v>3</v>
      </c>
    </row>
    <row r="6" spans="1:4">
      <c r="A6" s="1" t="s">
        <v>4</v>
      </c>
    </row>
    <row r="7" spans="1:4">
      <c r="A7" s="1" t="s">
        <v>5</v>
      </c>
    </row>
    <row r="8" spans="1:4">
      <c r="A8" s="1" t="s">
        <v>6</v>
      </c>
    </row>
    <row r="9" spans="1:4">
      <c r="A9" s="1" t="s">
        <v>7</v>
      </c>
    </row>
    <row r="10" spans="1:4">
      <c r="A10" s="1"/>
    </row>
    <row r="11" spans="1:4">
      <c r="A11" s="2" t="s">
        <v>8</v>
      </c>
    </row>
    <row r="12" spans="1:4">
      <c r="A12" s="1" t="s">
        <v>9</v>
      </c>
    </row>
    <row r="13" spans="1:4">
      <c r="A13" s="1"/>
    </row>
    <row r="14" spans="1:4">
      <c r="A14" s="2" t="s">
        <v>10</v>
      </c>
    </row>
    <row r="15" spans="1:4">
      <c r="A15" s="1" t="s">
        <v>11</v>
      </c>
    </row>
    <row r="16" spans="1:4">
      <c r="A16" s="1" t="s">
        <v>12</v>
      </c>
    </row>
  </sheetData>
  <mergeCells count="1">
    <mergeCell ref="A1:D1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6"/>
  <sheetViews>
    <sheetView showGridLines="0" zoomScaleNormal="100" workbookViewId="0">
      <selection activeCell="D11" sqref="D11"/>
    </sheetView>
  </sheetViews>
  <sheetFormatPr defaultColWidth="8.7109375" defaultRowHeight="15"/>
  <cols>
    <col min="1" max="1" width="53.28515625" customWidth="1"/>
    <col min="2" max="4" width="17.140625" customWidth="1"/>
    <col min="5" max="5" width="34.85546875" customWidth="1"/>
    <col min="6" max="6" width="60.28515625" customWidth="1"/>
  </cols>
  <sheetData>
    <row r="1" spans="1:6" ht="21.75" customHeight="1">
      <c r="A1" s="3" t="s">
        <v>13</v>
      </c>
      <c r="B1" s="3" t="s">
        <v>14</v>
      </c>
      <c r="C1" s="3" t="s">
        <v>15</v>
      </c>
      <c r="D1" s="3" t="s">
        <v>16</v>
      </c>
      <c r="E1" s="3" t="s">
        <v>17</v>
      </c>
      <c r="F1" s="3" t="s">
        <v>18</v>
      </c>
    </row>
    <row r="2" spans="1:6" ht="19.5" customHeight="1">
      <c r="A2" s="4" t="s">
        <v>19</v>
      </c>
      <c r="B2" s="20">
        <v>39755575</v>
      </c>
      <c r="C2" s="20">
        <v>47403282</v>
      </c>
      <c r="D2" s="20">
        <v>50115679</v>
      </c>
      <c r="E2" s="5" t="s">
        <v>20</v>
      </c>
      <c r="F2" s="6"/>
    </row>
    <row r="3" spans="1:6" ht="19.5" customHeight="1">
      <c r="A3" s="4" t="s">
        <v>21</v>
      </c>
      <c r="B3" s="20">
        <v>17997216</v>
      </c>
      <c r="C3" s="20">
        <v>-13111053</v>
      </c>
      <c r="D3" s="20">
        <v>20411174</v>
      </c>
      <c r="E3" s="5" t="s">
        <v>22</v>
      </c>
      <c r="F3" s="6" t="s">
        <v>23</v>
      </c>
    </row>
    <row r="4" spans="1:6" ht="19.5" customHeight="1">
      <c r="A4" s="4" t="s">
        <v>24</v>
      </c>
      <c r="B4" s="20">
        <v>5780928</v>
      </c>
      <c r="C4" s="20">
        <v>-28802145</v>
      </c>
      <c r="D4" s="20">
        <v>9762165</v>
      </c>
      <c r="E4" s="5" t="s">
        <v>25</v>
      </c>
      <c r="F4" s="6" t="s">
        <v>26</v>
      </c>
    </row>
    <row r="5" spans="1:6" ht="19.5" customHeight="1">
      <c r="A5" s="4" t="s">
        <v>27</v>
      </c>
      <c r="B5" s="20">
        <v>14106381</v>
      </c>
      <c r="C5" s="20">
        <v>-7044706</v>
      </c>
      <c r="D5" s="20">
        <v>13437687</v>
      </c>
      <c r="E5" s="5" t="s">
        <v>28</v>
      </c>
      <c r="F5" s="6"/>
    </row>
    <row r="6" spans="1:6" ht="19.5" customHeight="1">
      <c r="A6" s="4" t="s">
        <v>29</v>
      </c>
      <c r="B6" s="20">
        <v>14678900</v>
      </c>
      <c r="C6" s="20">
        <v>20001755</v>
      </c>
      <c r="D6" s="20">
        <v>16226175</v>
      </c>
      <c r="E6" s="5" t="s">
        <v>30</v>
      </c>
      <c r="F6" s="6"/>
    </row>
    <row r="7" spans="1:6" ht="19.5" customHeight="1">
      <c r="A7" s="4" t="s">
        <v>31</v>
      </c>
      <c r="B7" s="20"/>
      <c r="C7" s="20">
        <v>23849000</v>
      </c>
      <c r="D7" s="20">
        <v>21736000</v>
      </c>
      <c r="E7" s="5" t="s">
        <v>32</v>
      </c>
      <c r="F7" s="6" t="s">
        <v>33</v>
      </c>
    </row>
    <row r="8" spans="1:6" ht="19.5" customHeight="1">
      <c r="A8" s="4" t="s">
        <v>34</v>
      </c>
      <c r="B8" s="20">
        <v>143593025</v>
      </c>
      <c r="C8" s="20">
        <v>165936105</v>
      </c>
      <c r="D8" s="20">
        <v>167935519</v>
      </c>
      <c r="E8" s="5" t="s">
        <v>35</v>
      </c>
      <c r="F8" s="6"/>
    </row>
    <row r="9" spans="1:6" ht="19.5" customHeight="1">
      <c r="A9" s="4" t="s">
        <v>36</v>
      </c>
      <c r="B9" s="20">
        <v>44810300</v>
      </c>
      <c r="C9" s="20">
        <v>32415575</v>
      </c>
      <c r="D9" s="20">
        <v>43952173</v>
      </c>
      <c r="E9" s="5" t="s">
        <v>37</v>
      </c>
      <c r="F9" s="6"/>
    </row>
    <row r="10" spans="1:6" ht="19.5" customHeight="1">
      <c r="A10" s="4" t="s">
        <v>38</v>
      </c>
      <c r="B10" s="20"/>
      <c r="C10" s="20">
        <v>64986040</v>
      </c>
      <c r="D10" s="20">
        <v>64296187</v>
      </c>
      <c r="E10" s="5" t="s">
        <v>39</v>
      </c>
      <c r="F10" s="6" t="s">
        <v>40</v>
      </c>
    </row>
    <row r="11" spans="1:6" ht="19.5" customHeight="1">
      <c r="A11" s="7" t="s">
        <v>41</v>
      </c>
      <c r="B11" s="8"/>
      <c r="C11" s="8"/>
      <c r="D11" s="21">
        <f>AVERAGE(B3:D3)</f>
        <v>8432445.666666666</v>
      </c>
      <c r="E11" s="10" t="s">
        <v>42</v>
      </c>
      <c r="F11" s="11" t="s">
        <v>43</v>
      </c>
    </row>
    <row r="13" spans="1:6" ht="15" customHeight="1">
      <c r="A13" s="32" t="s">
        <v>44</v>
      </c>
    </row>
    <row r="14" spans="1:6">
      <c r="A14" s="32"/>
    </row>
    <row r="15" spans="1:6">
      <c r="A15" s="32"/>
    </row>
    <row r="16" spans="1:6">
      <c r="A16" s="19"/>
    </row>
  </sheetData>
  <mergeCells count="1">
    <mergeCell ref="A13:A15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6"/>
  <sheetViews>
    <sheetView showGridLines="0" zoomScaleNormal="100" workbookViewId="0">
      <selection activeCell="G10" sqref="G10"/>
    </sheetView>
  </sheetViews>
  <sheetFormatPr defaultColWidth="8.7109375" defaultRowHeight="15"/>
  <cols>
    <col min="1" max="1" width="64.85546875" customWidth="1"/>
    <col min="2" max="2" width="14" customWidth="1"/>
    <col min="3" max="3" width="13" customWidth="1"/>
    <col min="4" max="4" width="15" customWidth="1"/>
    <col min="5" max="6" width="9" customWidth="1"/>
    <col min="7" max="8" width="14" customWidth="1"/>
    <col min="9" max="9" width="15" customWidth="1"/>
    <col min="10" max="11" width="44" customWidth="1"/>
  </cols>
  <sheetData>
    <row r="1" spans="1:11" ht="48" customHeight="1">
      <c r="A1" s="3" t="s">
        <v>45</v>
      </c>
      <c r="B1" s="3" t="s">
        <v>46</v>
      </c>
      <c r="C1" s="3" t="s">
        <v>47</v>
      </c>
      <c r="D1" s="3" t="s">
        <v>48</v>
      </c>
      <c r="E1" s="3" t="s">
        <v>49</v>
      </c>
      <c r="F1" s="3" t="s">
        <v>50</v>
      </c>
      <c r="G1" s="3" t="s">
        <v>51</v>
      </c>
      <c r="H1" s="3" t="s">
        <v>52</v>
      </c>
      <c r="I1" s="3" t="s">
        <v>53</v>
      </c>
      <c r="J1" s="3" t="s">
        <v>54</v>
      </c>
      <c r="K1" s="3" t="s">
        <v>55</v>
      </c>
    </row>
    <row r="2" spans="1:11" ht="51.75" customHeight="1">
      <c r="A2" s="27" t="s">
        <v>56</v>
      </c>
      <c r="B2" s="22">
        <f>Bases!D3</f>
        <v>20411174</v>
      </c>
      <c r="C2" s="23">
        <f>IFERROR((Bases!D3-Bases!C3)/ABS(Bases!C3),"n.a.")</f>
        <v>2.5567913576430512</v>
      </c>
      <c r="D2" s="23">
        <f>IFERROR(STDEV(Bases!B3:D3)/ABS(AVERAGE(Bases!B3:D3)),"n.a.")</f>
        <v>2.2171761615900079</v>
      </c>
      <c r="E2" s="24">
        <v>0.03</v>
      </c>
      <c r="F2" s="24">
        <v>0.05</v>
      </c>
      <c r="G2" s="25">
        <f>B2*E2</f>
        <v>612335.22</v>
      </c>
      <c r="H2" s="25">
        <f>B2*F2</f>
        <v>1020558.7000000001</v>
      </c>
      <c r="I2" s="23">
        <f>H2/Bases!$D$3</f>
        <v>0.05</v>
      </c>
      <c r="J2" s="28" t="s">
        <v>57</v>
      </c>
      <c r="K2" s="28" t="s">
        <v>58</v>
      </c>
    </row>
    <row r="3" spans="1:11" ht="51.75" customHeight="1">
      <c r="A3" s="27" t="s">
        <v>59</v>
      </c>
      <c r="B3" s="22">
        <f>Bases!D11</f>
        <v>8432445.666666666</v>
      </c>
      <c r="C3" s="26" t="s">
        <v>60</v>
      </c>
      <c r="D3" s="26" t="s">
        <v>60</v>
      </c>
      <c r="E3" s="24">
        <v>0.03</v>
      </c>
      <c r="F3" s="24">
        <v>0.05</v>
      </c>
      <c r="G3" s="25">
        <f>B3*E3</f>
        <v>252973.36999999997</v>
      </c>
      <c r="H3" s="25">
        <f>B3*F3</f>
        <v>421622.28333333333</v>
      </c>
      <c r="I3" s="23">
        <f>H3/Bases!$D$3</f>
        <v>2.0656444520698973E-2</v>
      </c>
      <c r="J3" s="28" t="s">
        <v>61</v>
      </c>
      <c r="K3" s="28" t="s">
        <v>62</v>
      </c>
    </row>
    <row r="4" spans="1:11" ht="51.75" customHeight="1">
      <c r="A4" s="27" t="s">
        <v>19</v>
      </c>
      <c r="B4" s="22">
        <f>Bases!D2</f>
        <v>50115679</v>
      </c>
      <c r="C4" s="23">
        <f>IFERROR((Bases!D2-Bases!C2)/ABS(Bases!C2),"n.a.")</f>
        <v>5.7219603486526521E-2</v>
      </c>
      <c r="D4" s="23">
        <f>IFERROR(STDEV(Bases!B2:D2)/ABS(AVERAGE(Bases!B2:D2)),"n.a.")</f>
        <v>0.11740858166432777</v>
      </c>
      <c r="E4" s="24">
        <v>5.0000000000000001E-3</v>
      </c>
      <c r="F4" s="24">
        <v>0.01</v>
      </c>
      <c r="G4" s="25">
        <f>B4*E4</f>
        <v>250578.39500000002</v>
      </c>
      <c r="H4" s="25">
        <f>B4*F4</f>
        <v>501156.79000000004</v>
      </c>
      <c r="I4" s="23">
        <f>H4/Bases!$D$3</f>
        <v>2.4553060495197388E-2</v>
      </c>
      <c r="J4" s="28" t="s">
        <v>63</v>
      </c>
      <c r="K4" s="28" t="s">
        <v>64</v>
      </c>
    </row>
    <row r="5" spans="1:11" ht="51.75" customHeight="1">
      <c r="A5" s="27" t="s">
        <v>31</v>
      </c>
      <c r="B5" s="22">
        <f>Bases!D7</f>
        <v>21736000</v>
      </c>
      <c r="C5" s="23">
        <f>IFERROR((Bases!D7-Bases!C7)/ABS(Bases!C7),"n.a.")</f>
        <v>-8.8599102687743722E-2</v>
      </c>
      <c r="D5" s="23">
        <f>IFERROR(STDEV(Bases!B7:D7)/ABS(AVERAGE(Bases!B7:D7)),"n.a.")</f>
        <v>6.5552994566071068E-2</v>
      </c>
      <c r="E5" s="24">
        <v>0.01</v>
      </c>
      <c r="F5" s="24">
        <v>0.02</v>
      </c>
      <c r="G5" s="25">
        <f>B5*E5</f>
        <v>217360</v>
      </c>
      <c r="H5" s="25">
        <f>B5*F5</f>
        <v>434720</v>
      </c>
      <c r="I5" s="23">
        <f>H5/Bases!$D$3</f>
        <v>2.1298137970897704E-2</v>
      </c>
      <c r="J5" s="28" t="s">
        <v>65</v>
      </c>
      <c r="K5" s="28" t="s">
        <v>66</v>
      </c>
    </row>
    <row r="6" spans="1:11" ht="51.75" customHeight="1">
      <c r="A6" s="27" t="s">
        <v>34</v>
      </c>
      <c r="B6" s="22">
        <f>Bases!D8</f>
        <v>167935519</v>
      </c>
      <c r="C6" s="23">
        <f>IFERROR((Bases!D8-Bases!C8)/ABS(Bases!C8),"n.a.")</f>
        <v>1.2049300542519062E-2</v>
      </c>
      <c r="D6" s="23">
        <f>IFERROR(STDEV(Bases!B8:D8)/ABS(AVERAGE(Bases!B8:D8)),"n.a.")</f>
        <v>8.4910948644259715E-2</v>
      </c>
      <c r="E6" s="24">
        <v>5.0000000000000001E-3</v>
      </c>
      <c r="F6" s="24">
        <v>0.01</v>
      </c>
      <c r="G6" s="25">
        <f>B6*E6</f>
        <v>839677.59499999997</v>
      </c>
      <c r="H6" s="25">
        <f>B6*F6</f>
        <v>1679355.19</v>
      </c>
      <c r="I6" s="23">
        <f>H6/Bases!$D$3</f>
        <v>8.2276266421519903E-2</v>
      </c>
      <c r="J6" s="28" t="s">
        <v>67</v>
      </c>
      <c r="K6" s="28" t="s">
        <v>68</v>
      </c>
    </row>
    <row r="7" spans="1:11" ht="51.75" customHeight="1">
      <c r="A7" s="27" t="s">
        <v>69</v>
      </c>
      <c r="B7" s="22">
        <f>Bases!D9</f>
        <v>43952173</v>
      </c>
      <c r="C7" s="23">
        <f>IFERROR((Bases!D9-Bases!C9)/ABS(Bases!C9),"n.a.")</f>
        <v>0.35589675642033192</v>
      </c>
      <c r="D7" s="23">
        <f>IFERROR(STDEV(Bases!B9:D9)/ABS(AVERAGE(Bases!B9:D9)),"n.a.")</f>
        <v>0.17135997615475321</v>
      </c>
      <c r="E7" s="24">
        <v>0.01</v>
      </c>
      <c r="F7" s="24">
        <v>0.02</v>
      </c>
      <c r="G7" s="25">
        <f>B7*E7</f>
        <v>439521.73</v>
      </c>
      <c r="H7" s="25">
        <f>B7*F7</f>
        <v>879043.46</v>
      </c>
      <c r="I7" s="23">
        <f>H7/Bases!$D$3</f>
        <v>4.3066776070793379E-2</v>
      </c>
      <c r="J7" s="28" t="s">
        <v>70</v>
      </c>
      <c r="K7" s="28" t="s">
        <v>71</v>
      </c>
    </row>
    <row r="9" spans="1:11">
      <c r="A9" s="33" t="s">
        <v>72</v>
      </c>
    </row>
    <row r="10" spans="1:11">
      <c r="A10" s="33"/>
    </row>
    <row r="11" spans="1:11">
      <c r="A11" s="33" t="s">
        <v>73</v>
      </c>
    </row>
    <row r="12" spans="1:11">
      <c r="A12" s="33"/>
    </row>
    <row r="13" spans="1:11">
      <c r="A13" s="33" t="s">
        <v>74</v>
      </c>
    </row>
    <row r="14" spans="1:11">
      <c r="A14" s="33"/>
    </row>
    <row r="15" spans="1:11">
      <c r="A15" s="33" t="s">
        <v>75</v>
      </c>
    </row>
    <row r="16" spans="1:11">
      <c r="A16" s="33"/>
    </row>
  </sheetData>
  <mergeCells count="4">
    <mergeCell ref="A9:A10"/>
    <mergeCell ref="A11:A12"/>
    <mergeCell ref="A13:A14"/>
    <mergeCell ref="A15:A16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7"/>
  <sheetViews>
    <sheetView showGridLines="0" zoomScaleNormal="100" workbookViewId="0">
      <selection activeCell="A23" sqref="A23"/>
    </sheetView>
  </sheetViews>
  <sheetFormatPr defaultColWidth="8.7109375" defaultRowHeight="15"/>
  <cols>
    <col min="1" max="1" width="52" customWidth="1"/>
    <col min="2" max="2" width="18" customWidth="1"/>
    <col min="3" max="3" width="14" customWidth="1"/>
    <col min="4" max="4" width="60" customWidth="1"/>
  </cols>
  <sheetData>
    <row r="1" spans="1:4">
      <c r="A1" s="13" t="s">
        <v>76</v>
      </c>
    </row>
    <row r="3" spans="1:4">
      <c r="A3" s="14" t="s">
        <v>77</v>
      </c>
      <c r="B3" s="15" t="s">
        <v>19</v>
      </c>
      <c r="D3" s="11" t="s">
        <v>78</v>
      </c>
    </row>
    <row r="4" spans="1:4">
      <c r="A4" s="14" t="s">
        <v>79</v>
      </c>
      <c r="B4" s="16">
        <f>INDEX(Comparação!B2:B7,MATCH(B3,Comparação!A2:A7,0))</f>
        <v>50115679</v>
      </c>
      <c r="D4" s="11" t="s">
        <v>80</v>
      </c>
    </row>
    <row r="5" spans="1:4">
      <c r="A5" s="14" t="s">
        <v>81</v>
      </c>
      <c r="B5" s="17">
        <v>5.0000000000000001E-3</v>
      </c>
      <c r="D5" s="11" t="s">
        <v>82</v>
      </c>
    </row>
    <row r="6" spans="1:4">
      <c r="A6" s="7" t="s">
        <v>83</v>
      </c>
      <c r="B6" s="9">
        <f>B4*B5</f>
        <v>250578.39500000002</v>
      </c>
      <c r="D6" s="11" t="s">
        <v>84</v>
      </c>
    </row>
    <row r="7" spans="1:4">
      <c r="A7" s="14" t="s">
        <v>85</v>
      </c>
      <c r="B7" s="17">
        <v>0.5</v>
      </c>
      <c r="D7" s="11" t="s">
        <v>86</v>
      </c>
    </row>
    <row r="8" spans="1:4">
      <c r="A8" s="14" t="s">
        <v>87</v>
      </c>
      <c r="B8" s="16">
        <f>B6*B7</f>
        <v>125289.19750000001</v>
      </c>
      <c r="D8" s="11" t="s">
        <v>88</v>
      </c>
    </row>
    <row r="9" spans="1:4">
      <c r="A9" s="14" t="s">
        <v>89</v>
      </c>
      <c r="B9" s="17">
        <v>0.05</v>
      </c>
      <c r="D9" s="11" t="s">
        <v>90</v>
      </c>
    </row>
    <row r="10" spans="1:4">
      <c r="A10" s="14" t="s">
        <v>91</v>
      </c>
      <c r="B10" s="16">
        <f>B6*B9</f>
        <v>12528.919750000001</v>
      </c>
      <c r="D10" s="11" t="s">
        <v>92</v>
      </c>
    </row>
    <row r="11" spans="1:4">
      <c r="A11" s="1"/>
      <c r="D11" s="12"/>
    </row>
    <row r="12" spans="1:4">
      <c r="A12" s="7" t="s">
        <v>93</v>
      </c>
      <c r="B12" s="8"/>
      <c r="D12" s="11"/>
    </row>
    <row r="13" spans="1:4">
      <c r="A13" s="14" t="s">
        <v>94</v>
      </c>
      <c r="B13" s="18">
        <f>B6/Bases!D8</f>
        <v>1.4921107606783292E-3</v>
      </c>
      <c r="D13" s="11"/>
    </row>
    <row r="14" spans="1:4">
      <c r="A14" s="14" t="s">
        <v>95</v>
      </c>
      <c r="B14" s="18">
        <f>B6/Bases!D3</f>
        <v>1.2276530247598694E-2</v>
      </c>
      <c r="D14" s="11"/>
    </row>
    <row r="15" spans="1:4">
      <c r="A15" s="14" t="s">
        <v>96</v>
      </c>
      <c r="B15" s="18">
        <f>B6/Bases!D10</f>
        <v>3.8972512475739817E-3</v>
      </c>
      <c r="D15" s="11" t="s">
        <v>97</v>
      </c>
    </row>
    <row r="17" spans="1:1">
      <c r="A17" s="12" t="s">
        <v>98</v>
      </c>
    </row>
  </sheetData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xr:uid="{00000000-0002-0000-0300-000000000000}">
          <x14:formula1>
            <xm:f>Comparação!$A$2:$A$7</xm:f>
          </x14:formula1>
          <x14:formula2>
            <xm:f>0</xm:f>
          </x14:formula2>
          <xm:sqref>B3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4"/>
  <sheetViews>
    <sheetView showGridLines="0" tabSelected="1" zoomScaleNormal="100" workbookViewId="0">
      <selection activeCell="E5" sqref="E5"/>
    </sheetView>
  </sheetViews>
  <sheetFormatPr defaultColWidth="8.7109375" defaultRowHeight="15"/>
  <cols>
    <col min="1" max="1" width="6" customWidth="1"/>
    <col min="2" max="2" width="46" customWidth="1"/>
    <col min="3" max="3" width="70" customWidth="1"/>
    <col min="4" max="4" width="14" customWidth="1"/>
    <col min="5" max="5" width="30" customWidth="1"/>
  </cols>
  <sheetData>
    <row r="1" spans="1:5">
      <c r="A1" s="3" t="s">
        <v>99</v>
      </c>
      <c r="B1" s="3" t="s">
        <v>100</v>
      </c>
      <c r="C1" s="3" t="s">
        <v>101</v>
      </c>
      <c r="D1" s="3" t="s">
        <v>102</v>
      </c>
      <c r="E1" s="3" t="s">
        <v>103</v>
      </c>
    </row>
    <row r="2" spans="1:5" ht="51.75" customHeight="1">
      <c r="A2" s="5" t="s">
        <v>104</v>
      </c>
      <c r="B2" s="5" t="s">
        <v>105</v>
      </c>
      <c r="C2" s="5" t="s">
        <v>106</v>
      </c>
      <c r="D2" s="30">
        <v>46314</v>
      </c>
      <c r="E2" s="5" t="s">
        <v>107</v>
      </c>
    </row>
    <row r="3" spans="1:5" ht="51.75" customHeight="1">
      <c r="A3" s="5" t="s">
        <v>108</v>
      </c>
      <c r="B3" s="5" t="s">
        <v>109</v>
      </c>
      <c r="C3" s="29" t="s">
        <v>110</v>
      </c>
      <c r="D3" s="30">
        <v>46314</v>
      </c>
      <c r="E3" s="5" t="s">
        <v>111</v>
      </c>
    </row>
    <row r="4" spans="1:5" ht="51.75" customHeight="1">
      <c r="A4" s="5" t="s">
        <v>112</v>
      </c>
      <c r="B4" s="5" t="s">
        <v>113</v>
      </c>
      <c r="C4" s="5" t="s">
        <v>114</v>
      </c>
      <c r="D4" s="30">
        <v>46315</v>
      </c>
      <c r="E4" s="5" t="s">
        <v>115</v>
      </c>
    </row>
  </sheetData>
  <hyperlinks>
    <hyperlink ref="C3" r:id="rId1" xr:uid="{F8670BB7-9459-4ED7-B41F-DAE603CF816A}"/>
  </hyperlink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>0</cp:revision>
  <dcterms:created xsi:type="dcterms:W3CDTF">2026-10-20T18:29:47Z</dcterms:created>
  <dcterms:modified xsi:type="dcterms:W3CDTF">2026-10-20T21:20:58Z</dcterms:modified>
  <cp:category/>
  <cp:contentStatus/>
</cp:coreProperties>
</file>
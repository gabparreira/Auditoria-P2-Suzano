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FBB44B9B-7758-4F3D-88A7-E62962E6C8D5}" xr6:coauthVersionLast="47" xr6:coauthVersionMax="47" xr10:uidLastSave="{00000000-0000-0000-0000-000000000000}"/>
  <bookViews>
    <workbookView xWindow="0" yWindow="0" windowWidth="16384" windowHeight="8192" tabRatio="500" activeTab="4" xr2:uid="{00000000-000D-0000-FFFF-FFFF00000000}"/>
  </bookViews>
  <sheets>
    <sheet name="T1 Imobilizado" sheetId="1" r:id="rId1"/>
    <sheet name="T2 Depreciação" sheetId="2" r:id="rId2"/>
    <sheet name="T3 Ativos biológicos" sheetId="3" r:id="rId3"/>
    <sheet name="T4 Receita" sheetId="4" r:id="rId4"/>
    <sheet name="T5 Balanço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5" l="1"/>
  <c r="B14" i="5" s="1"/>
  <c r="B8" i="5"/>
  <c r="C10" i="4"/>
  <c r="E8" i="4"/>
  <c r="D8" i="4"/>
  <c r="E7" i="4"/>
  <c r="D7" i="4"/>
  <c r="E6" i="4"/>
  <c r="D6" i="4"/>
  <c r="E5" i="4"/>
  <c r="D5" i="4"/>
  <c r="B16" i="3"/>
  <c r="B12" i="3"/>
  <c r="B14" i="3" s="1"/>
  <c r="G8" i="2"/>
  <c r="D7" i="2"/>
  <c r="F7" i="2" s="1"/>
  <c r="D6" i="2"/>
  <c r="F6" i="2" s="1"/>
  <c r="D5" i="2"/>
  <c r="F5" i="2" s="1"/>
  <c r="F8" i="2" s="1"/>
  <c r="B10" i="1"/>
  <c r="B12" i="1" s="1"/>
  <c r="B11" i="2" l="1"/>
  <c r="B10" i="2"/>
  <c r="B13" i="2" s="1"/>
</calcChain>
</file>

<file path=xl/sharedStrings.xml><?xml version="1.0" encoding="utf-8"?>
<sst xmlns="http://schemas.openxmlformats.org/spreadsheetml/2006/main" count="104" uniqueCount="73">
  <si>
    <t>T1 – Recálculo da movimentação do imobilizado (nota 15)</t>
  </si>
  <si>
    <t>Suzano S.A. – consolidado – R$ mil – fonte: DFP 2025 (CVM/RAD) – preparador 241003769 – 20/10/2026 – azul = dado da fonte</t>
  </si>
  <si>
    <t>Item</t>
  </si>
  <si>
    <t>Valor</t>
  </si>
  <si>
    <t>Fonte / observação</t>
  </si>
  <si>
    <t>Saldo em 31/12/2024</t>
  </si>
  <si>
    <t>F1 p. 157</t>
  </si>
  <si>
    <t>(+) Adições</t>
  </si>
  <si>
    <t>F1 p. 157; igual à DFC consolidada, conta 6.02.01 (F1 p. 33)</t>
  </si>
  <si>
    <t>(–) Baixas</t>
  </si>
  <si>
    <t>(–) Depreciação</t>
  </si>
  <si>
    <t>(±) Transferências e outros</t>
  </si>
  <si>
    <t>Saldo recalculado em 31/12/2025</t>
  </si>
  <si>
    <t>Saldo divulgado em 31/12/2025</t>
  </si>
  <si>
    <t>F1 p. 157; balanço F2 p. 70</t>
  </si>
  <si>
    <t>Diferença</t>
  </si>
  <si>
    <t>Esperado: zero</t>
  </si>
  <si>
    <t>T2 – Procedimento analítico da depreciação (expectativa = custo médio × taxa média divulgada)</t>
  </si>
  <si>
    <t>Classe</t>
  </si>
  <si>
    <t>Custo 31/12/2024</t>
  </si>
  <si>
    <t>Custo 31/12/2025</t>
  </si>
  <si>
    <t>Custo médio</t>
  </si>
  <si>
    <t>Taxa média a.a.</t>
  </si>
  <si>
    <t>Depreciação esperada</t>
  </si>
  <si>
    <t>Depreciação registrada</t>
  </si>
  <si>
    <t>Imóveis</t>
  </si>
  <si>
    <t>Máquinas, equipamentos e instalações</t>
  </si>
  <si>
    <t>Outros</t>
  </si>
  <si>
    <t>Total</t>
  </si>
  <si>
    <t>Diferença (registrada – esperada)</t>
  </si>
  <si>
    <t>Diferença em %</t>
  </si>
  <si>
    <t>Limite de investigação = materialidade para execução (PT 320)</t>
  </si>
  <si>
    <t>Diferença acima do limite?</t>
  </si>
  <si>
    <t>Fonte: F1 p. 157 (custo acumulado por classe e taxas médias). Terrenos e imobilizado em andamento não são depreciados.</t>
  </si>
  <si>
    <t>Possíveis explicações a investigar (PT 520): bens totalmente depreciados ainda no custo; taxa média ponderada por outro critério; ativos que começaram a depreciar no ano.</t>
  </si>
  <si>
    <t>T3 – Recálculo da movimentação dos ativos biológicos (nota 13)</t>
  </si>
  <si>
    <t>F1 p. 154</t>
  </si>
  <si>
    <t>(–) Exaustões</t>
  </si>
  <si>
    <t>(±) Transferências</t>
  </si>
  <si>
    <t>(+) Ganho na atualização do valor justo</t>
  </si>
  <si>
    <t>(–) Alienações</t>
  </si>
  <si>
    <t>F1 p. 154; balanço F1 p. 25</t>
  </si>
  <si>
    <t>Ganho de valor justo em % do lucro antes dos tributos 2025</t>
  </si>
  <si>
    <t>Mostra o peso da estimativa no resultado</t>
  </si>
  <si>
    <t>T4 – Procedimento analítico da receita por segmento e produto (nota 28)</t>
  </si>
  <si>
    <t>Linha</t>
  </si>
  <si>
    <t>2024</t>
  </si>
  <si>
    <t>2025</t>
  </si>
  <si>
    <t>Variação</t>
  </si>
  <si>
    <t>Variação %</t>
  </si>
  <si>
    <t>Explicação divulgada</t>
  </si>
  <si>
    <t>Celulose</t>
  </si>
  <si>
    <t>Maior volume e dólar médio mais alto, compensados por preço menor (F1 p. 44)</t>
  </si>
  <si>
    <t>Papel</t>
  </si>
  <si>
    <t>Primeiro ano completo da Suzano Packaging (EUA), adquirida em out/2024 (F1 p. 190)</t>
  </si>
  <si>
    <t xml:space="preserve">   dos quais papelcartão</t>
  </si>
  <si>
    <t>Idem</t>
  </si>
  <si>
    <t>Conferência: celulose + papel = total</t>
  </si>
  <si>
    <t>T5 – Conferência do balanço consolidado e da dívida</t>
  </si>
  <si>
    <t>Fonte</t>
  </si>
  <si>
    <t>Ativo total</t>
  </si>
  <si>
    <t>F1 p. 25</t>
  </si>
  <si>
    <t>Passivo circulante + não circulante</t>
  </si>
  <si>
    <t>F1 p. 27–28</t>
  </si>
  <si>
    <t>Patrimônio líquido consolidado</t>
  </si>
  <si>
    <t>F1 p. 28</t>
  </si>
  <si>
    <t>Diferença (ativo – passivo – PL)</t>
  </si>
  <si>
    <t>Empréstimos – circulante</t>
  </si>
  <si>
    <t>F1 p. 27</t>
  </si>
  <si>
    <t>Empréstimos – não circulante</t>
  </si>
  <si>
    <t>Total recalculado</t>
  </si>
  <si>
    <t>Dívida bruta divulgada na nota de instrumentos financeiros</t>
  </si>
  <si>
    <t>F1 p. 121 – classificação dos instrumentos financeiros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</si>
</sst>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(0.0%\);\-"/>
  </numFmts>
  <fonts count="1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/>
    <xf numFmtId="164" fontId="5" fillId="0" borderId="1" xfId="0" applyNumberFormat="1" applyFont="1" applyBorder="1"/>
    <xf numFmtId="0" fontId="2" fillId="0" borderId="1" xfId="0" applyFont="1" applyBorder="1"/>
    <xf numFmtId="0" fontId="6" fillId="0" borderId="1" xfId="0" applyFont="1" applyBorder="1"/>
    <xf numFmtId="164" fontId="7" fillId="0" borderId="1" xfId="0" applyNumberFormat="1" applyFont="1" applyBorder="1"/>
    <xf numFmtId="164" fontId="4" fillId="0" borderId="1" xfId="0" applyNumberFormat="1" applyFont="1" applyBorder="1"/>
    <xf numFmtId="10" fontId="5" fillId="0" borderId="1" xfId="0" applyNumberFormat="1" applyFont="1" applyBorder="1"/>
    <xf numFmtId="0" fontId="6" fillId="0" borderId="0" xfId="0" applyFont="1"/>
    <xf numFmtId="164" fontId="6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4" fontId="8" fillId="0" borderId="0" xfId="0" applyNumberFormat="1" applyFont="1"/>
    <xf numFmtId="0" fontId="7" fillId="0" borderId="0" xfId="0" applyFont="1"/>
    <xf numFmtId="165" fontId="9" fillId="0" borderId="1" xfId="0" applyNumberFormat="1" applyFont="1" applyBorder="1"/>
    <xf numFmtId="165" fontId="4" fillId="0" borderId="1" xfId="0" applyNumberFormat="1" applyFont="1" applyBorder="1"/>
    <xf numFmtId="0" fontId="10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showGridLines="0" zoomScaleNormal="100" workbookViewId="0"/>
  </sheetViews>
  <sheetFormatPr defaultColWidth="8.7109375" defaultRowHeight="15"/>
  <cols>
    <col min="1" max="1" width="48" customWidth="1"/>
    <col min="2" max="2" width="18" customWidth="1"/>
    <col min="3" max="3" width="50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4" t="s">
        <v>5</v>
      </c>
      <c r="B5" s="5">
        <v>64986040</v>
      </c>
      <c r="C5" s="6" t="s">
        <v>6</v>
      </c>
    </row>
    <row r="6" spans="1:3">
      <c r="A6" s="4" t="s">
        <v>7</v>
      </c>
      <c r="B6" s="5">
        <v>4578826</v>
      </c>
      <c r="C6" s="6" t="s">
        <v>8</v>
      </c>
    </row>
    <row r="7" spans="1:3">
      <c r="A7" s="4" t="s">
        <v>9</v>
      </c>
      <c r="B7" s="5">
        <v>-426152</v>
      </c>
      <c r="C7" s="6" t="s">
        <v>6</v>
      </c>
    </row>
    <row r="8" spans="1:3">
      <c r="A8" s="4" t="s">
        <v>10</v>
      </c>
      <c r="B8" s="5">
        <v>-4845176</v>
      </c>
      <c r="C8" s="6" t="s">
        <v>6</v>
      </c>
    </row>
    <row r="9" spans="1:3">
      <c r="A9" s="4" t="s">
        <v>11</v>
      </c>
      <c r="B9" s="5">
        <v>2649</v>
      </c>
      <c r="C9" s="6" t="s">
        <v>6</v>
      </c>
    </row>
    <row r="10" spans="1:3">
      <c r="A10" s="7" t="s">
        <v>12</v>
      </c>
      <c r="B10" s="8">
        <f>SUM(B5:B9)</f>
        <v>64296187</v>
      </c>
      <c r="C10" s="6"/>
    </row>
    <row r="11" spans="1:3">
      <c r="A11" s="4" t="s">
        <v>13</v>
      </c>
      <c r="B11" s="5">
        <v>64296187</v>
      </c>
      <c r="C11" s="6" t="s">
        <v>14</v>
      </c>
    </row>
    <row r="12" spans="1:3">
      <c r="A12" s="7" t="s">
        <v>15</v>
      </c>
      <c r="B12" s="8">
        <f>B10-B11</f>
        <v>0</v>
      </c>
      <c r="C12" s="6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zoomScaleNormal="100" workbookViewId="0"/>
  </sheetViews>
  <sheetFormatPr defaultColWidth="8.7109375" defaultRowHeight="15"/>
  <cols>
    <col min="1" max="1" width="30" customWidth="1"/>
    <col min="2" max="4" width="16" customWidth="1"/>
    <col min="5" max="5" width="12" customWidth="1"/>
    <col min="6" max="7" width="16" customWidth="1"/>
  </cols>
  <sheetData>
    <row r="1" spans="1:7">
      <c r="A1" s="1" t="s">
        <v>17</v>
      </c>
    </row>
    <row r="2" spans="1:7">
      <c r="A2" s="2" t="s">
        <v>1</v>
      </c>
    </row>
    <row r="4" spans="1:7" ht="23.8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>
      <c r="A5" s="4" t="s">
        <v>25</v>
      </c>
      <c r="B5" s="5">
        <v>13816631</v>
      </c>
      <c r="C5" s="5">
        <v>14589194</v>
      </c>
      <c r="D5" s="9">
        <f>AVERAGE(B5:C5)</f>
        <v>14202912.5</v>
      </c>
      <c r="E5" s="10">
        <v>3.2800000000000003E-2</v>
      </c>
      <c r="F5" s="9">
        <f>D5*E5</f>
        <v>465855.53</v>
      </c>
      <c r="G5" s="5">
        <v>434875</v>
      </c>
    </row>
    <row r="6" spans="1:7">
      <c r="A6" s="4" t="s">
        <v>26</v>
      </c>
      <c r="B6" s="5">
        <v>62822096</v>
      </c>
      <c r="C6" s="5">
        <v>66353229</v>
      </c>
      <c r="D6" s="9">
        <f>AVERAGE(B6:C6)</f>
        <v>64587662.5</v>
      </c>
      <c r="E6" s="10">
        <v>7.46E-2</v>
      </c>
      <c r="F6" s="9">
        <f>D6*E6</f>
        <v>4818239.6224999996</v>
      </c>
      <c r="G6" s="5">
        <v>4123031</v>
      </c>
    </row>
    <row r="7" spans="1:7">
      <c r="A7" s="4" t="s">
        <v>27</v>
      </c>
      <c r="B7" s="5">
        <v>1806592</v>
      </c>
      <c r="C7" s="5">
        <v>1830011</v>
      </c>
      <c r="D7" s="9">
        <f>AVERAGE(B7:C7)</f>
        <v>1818301.5</v>
      </c>
      <c r="E7" s="10">
        <v>0.2069</v>
      </c>
      <c r="F7" s="9">
        <f>D7*E7</f>
        <v>376206.58035</v>
      </c>
      <c r="G7" s="5">
        <v>287270</v>
      </c>
    </row>
    <row r="8" spans="1:7">
      <c r="A8" s="11" t="s">
        <v>28</v>
      </c>
      <c r="F8" s="12">
        <f>SUM(F5:F7)</f>
        <v>5660301.7328500003</v>
      </c>
      <c r="G8" s="12">
        <f>SUM(G5:G7)</f>
        <v>4845176</v>
      </c>
    </row>
    <row r="10" spans="1:7">
      <c r="A10" s="11" t="s">
        <v>29</v>
      </c>
      <c r="B10" s="13">
        <f>G8-F8</f>
        <v>-815125.73285000026</v>
      </c>
    </row>
    <row r="11" spans="1:7">
      <c r="A11" s="11" t="s">
        <v>30</v>
      </c>
      <c r="B11" s="14">
        <f>G8/F8-1</f>
        <v>-0.14400747015293458</v>
      </c>
    </row>
    <row r="12" spans="1:7">
      <c r="A12" s="11" t="s">
        <v>31</v>
      </c>
      <c r="B12" s="15">
        <v>125289</v>
      </c>
    </row>
    <row r="13" spans="1:7">
      <c r="A13" s="11" t="s">
        <v>32</v>
      </c>
      <c r="B13" s="16" t="str">
        <f>IF(ABS(B10)&gt;B12,"Sim – investigar","Não")</f>
        <v>Sim – investigar</v>
      </c>
    </row>
    <row r="15" spans="1:7">
      <c r="A15" s="2" t="s">
        <v>33</v>
      </c>
    </row>
    <row r="16" spans="1:7">
      <c r="A16" s="2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showGridLines="0" zoomScaleNormal="100" workbookViewId="0">
      <selection activeCell="C22" sqref="C22"/>
    </sheetView>
  </sheetViews>
  <sheetFormatPr defaultColWidth="8.7109375" defaultRowHeight="15"/>
  <cols>
    <col min="1" max="1" width="48" customWidth="1"/>
    <col min="2" max="2" width="18" customWidth="1"/>
    <col min="3" max="3" width="40" customWidth="1"/>
  </cols>
  <sheetData>
    <row r="1" spans="1:3">
      <c r="A1" s="1" t="s">
        <v>35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4" t="s">
        <v>5</v>
      </c>
      <c r="B5" s="5">
        <v>22283001</v>
      </c>
      <c r="C5" s="6" t="s">
        <v>36</v>
      </c>
    </row>
    <row r="6" spans="1:3">
      <c r="A6" s="4" t="s">
        <v>7</v>
      </c>
      <c r="B6" s="5">
        <v>7913483</v>
      </c>
      <c r="C6" s="6" t="s">
        <v>36</v>
      </c>
    </row>
    <row r="7" spans="1:3">
      <c r="A7" s="4" t="s">
        <v>37</v>
      </c>
      <c r="B7" s="5">
        <v>-5352271</v>
      </c>
      <c r="C7" s="6" t="s">
        <v>36</v>
      </c>
    </row>
    <row r="8" spans="1:3">
      <c r="A8" s="4" t="s">
        <v>38</v>
      </c>
      <c r="B8" s="5">
        <v>15233</v>
      </c>
      <c r="C8" s="6" t="s">
        <v>36</v>
      </c>
    </row>
    <row r="9" spans="1:3">
      <c r="A9" s="4" t="s">
        <v>39</v>
      </c>
      <c r="B9" s="5">
        <v>1516458</v>
      </c>
      <c r="C9" s="6" t="s">
        <v>36</v>
      </c>
    </row>
    <row r="10" spans="1:3">
      <c r="A10" s="4" t="s">
        <v>40</v>
      </c>
      <c r="B10" s="5">
        <v>-107815</v>
      </c>
      <c r="C10" s="6" t="s">
        <v>36</v>
      </c>
    </row>
    <row r="11" spans="1:3">
      <c r="A11" s="4" t="s">
        <v>9</v>
      </c>
      <c r="B11" s="5">
        <v>-170925</v>
      </c>
      <c r="C11" s="6" t="s">
        <v>36</v>
      </c>
    </row>
    <row r="12" spans="1:3">
      <c r="A12" s="7" t="s">
        <v>12</v>
      </c>
      <c r="B12" s="8">
        <f>SUM(B5:B11)</f>
        <v>26097164</v>
      </c>
      <c r="C12" s="6"/>
    </row>
    <row r="13" spans="1:3">
      <c r="A13" s="4" t="s">
        <v>13</v>
      </c>
      <c r="B13" s="5">
        <v>26097164</v>
      </c>
      <c r="C13" s="6" t="s">
        <v>41</v>
      </c>
    </row>
    <row r="14" spans="1:3">
      <c r="A14" s="7" t="s">
        <v>15</v>
      </c>
      <c r="B14" s="8">
        <f>B12-B13</f>
        <v>0</v>
      </c>
      <c r="C14" s="6" t="s">
        <v>16</v>
      </c>
    </row>
    <row r="16" spans="1:3">
      <c r="A16" s="4" t="s">
        <v>42</v>
      </c>
      <c r="B16" s="17">
        <f>B9/20411174</f>
        <v>7.4295481484798476E-2</v>
      </c>
      <c r="C16" s="6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zoomScaleNormal="100" workbookViewId="0">
      <selection activeCell="D16" sqref="D16"/>
    </sheetView>
  </sheetViews>
  <sheetFormatPr defaultColWidth="8.7109375" defaultRowHeight="15"/>
  <cols>
    <col min="1" max="1" width="36" customWidth="1"/>
    <col min="2" max="4" width="16" customWidth="1"/>
    <col min="5" max="5" width="12" customWidth="1"/>
    <col min="6" max="6" width="44" customWidth="1"/>
  </cols>
  <sheetData>
    <row r="1" spans="1:6">
      <c r="A1" s="1" t="s">
        <v>44</v>
      </c>
    </row>
    <row r="2" spans="1:6">
      <c r="A2" s="2" t="s">
        <v>1</v>
      </c>
    </row>
    <row r="4" spans="1:6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</row>
    <row r="5" spans="1:6">
      <c r="A5" s="4" t="s">
        <v>51</v>
      </c>
      <c r="B5" s="5">
        <v>37593462</v>
      </c>
      <c r="C5" s="5">
        <v>37816141</v>
      </c>
      <c r="D5" s="9">
        <f>C5-B5</f>
        <v>222679</v>
      </c>
      <c r="E5" s="18">
        <f>C5/B5-1</f>
        <v>5.9233437984509418E-3</v>
      </c>
      <c r="F5" s="19" t="s">
        <v>52</v>
      </c>
    </row>
    <row r="6" spans="1:6">
      <c r="A6" s="4" t="s">
        <v>53</v>
      </c>
      <c r="B6" s="5">
        <v>9809820</v>
      </c>
      <c r="C6" s="5">
        <v>12299538</v>
      </c>
      <c r="D6" s="9">
        <f>C6-B6</f>
        <v>2489718</v>
      </c>
      <c r="E6" s="18">
        <f>C6/B6-1</f>
        <v>0.25379854064600571</v>
      </c>
      <c r="F6" s="19" t="s">
        <v>54</v>
      </c>
    </row>
    <row r="7" spans="1:6">
      <c r="A7" s="4" t="s">
        <v>55</v>
      </c>
      <c r="B7" s="5">
        <v>1676639</v>
      </c>
      <c r="C7" s="5">
        <v>3999186</v>
      </c>
      <c r="D7" s="9">
        <f>C7-B7</f>
        <v>2322547</v>
      </c>
      <c r="E7" s="18">
        <f>C7/B7-1</f>
        <v>1.385239756441309</v>
      </c>
      <c r="F7" s="19" t="s">
        <v>56</v>
      </c>
    </row>
    <row r="8" spans="1:6">
      <c r="A8" s="7" t="s">
        <v>28</v>
      </c>
      <c r="B8" s="5">
        <v>47403282</v>
      </c>
      <c r="C8" s="5">
        <v>50115679</v>
      </c>
      <c r="D8" s="9">
        <f>C8-B8</f>
        <v>2712397</v>
      </c>
      <c r="E8" s="18">
        <f>C8/B8-1</f>
        <v>5.7219603486526438E-2</v>
      </c>
      <c r="F8" s="19"/>
    </row>
    <row r="10" spans="1:6">
      <c r="A10" s="11" t="s">
        <v>57</v>
      </c>
      <c r="C10" s="20">
        <f>C5+C6-C8</f>
        <v>0</v>
      </c>
      <c r="D10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showGridLines="0" tabSelected="1" zoomScaleNormal="100" workbookViewId="0"/>
  </sheetViews>
  <sheetFormatPr defaultColWidth="8.7109375" defaultRowHeight="15"/>
  <cols>
    <col min="1" max="1" width="52" customWidth="1"/>
    <col min="2" max="2" width="18" customWidth="1"/>
    <col min="3" max="3" width="40" customWidth="1"/>
  </cols>
  <sheetData>
    <row r="1" spans="1:3">
      <c r="A1" s="1" t="s">
        <v>58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59</v>
      </c>
    </row>
    <row r="5" spans="1:3">
      <c r="A5" s="4" t="s">
        <v>60</v>
      </c>
      <c r="B5" s="5">
        <v>167935519</v>
      </c>
      <c r="C5" s="6" t="s">
        <v>61</v>
      </c>
    </row>
    <row r="6" spans="1:3">
      <c r="A6" s="4" t="s">
        <v>62</v>
      </c>
      <c r="B6" s="5">
        <v>123983346</v>
      </c>
      <c r="C6" s="6" t="s">
        <v>63</v>
      </c>
    </row>
    <row r="7" spans="1:3">
      <c r="A7" s="4" t="s">
        <v>64</v>
      </c>
      <c r="B7" s="5">
        <v>43952173</v>
      </c>
      <c r="C7" s="6" t="s">
        <v>65</v>
      </c>
    </row>
    <row r="8" spans="1:3">
      <c r="A8" s="7" t="s">
        <v>66</v>
      </c>
      <c r="B8" s="8">
        <f>B5-B6-B7</f>
        <v>0</v>
      </c>
      <c r="C8" s="6" t="s">
        <v>16</v>
      </c>
    </row>
    <row r="10" spans="1:3">
      <c r="A10" s="4" t="s">
        <v>67</v>
      </c>
      <c r="B10" s="5">
        <v>3004905</v>
      </c>
      <c r="C10" s="6" t="s">
        <v>68</v>
      </c>
    </row>
    <row r="11" spans="1:3">
      <c r="A11" s="4" t="s">
        <v>69</v>
      </c>
      <c r="B11" s="5">
        <v>91796352</v>
      </c>
      <c r="C11" s="6" t="s">
        <v>68</v>
      </c>
    </row>
    <row r="12" spans="1:3">
      <c r="A12" s="7" t="s">
        <v>70</v>
      </c>
      <c r="B12" s="8">
        <f>B10+B11</f>
        <v>94801257</v>
      </c>
      <c r="C12" s="6"/>
    </row>
    <row r="13" spans="1:3">
      <c r="A13" s="4" t="s">
        <v>71</v>
      </c>
      <c r="B13" s="5">
        <v>94801257</v>
      </c>
      <c r="C13" s="6" t="s">
        <v>72</v>
      </c>
    </row>
    <row r="14" spans="1:3">
      <c r="A14" s="7" t="s">
        <v>15</v>
      </c>
      <c r="B14" s="8">
        <f>B12-B13</f>
        <v>0</v>
      </c>
      <c r="C14" s="6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2026-10-20T19:46:48Z</dcterms:created>
  <dcterms:modified xsi:type="dcterms:W3CDTF">2026-10-20T21:22:19Z</dcterms:modified>
  <cp:category/>
  <cp:contentStatus/>
</cp:coreProperties>
</file>